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E:\01. Project\14. 2024년\02. 해외사업\01. 검토사업\22. 베트남 홍강유역 상하수도 프로젝트 발굴 기초조사 (KEITI 베트남 이재권)\01. VIWASW 기초조사자료\"/>
    </mc:Choice>
  </mc:AlternateContent>
  <bookViews>
    <workbookView xWindow="0" yWindow="0" windowWidth="51600" windowHeight="16905" tabRatio="924" activeTab="11"/>
  </bookViews>
  <sheets>
    <sheet name="Cover(Table 3)" sheetId="11" r:id="rId1"/>
    <sheet name="Table 3-Drainage&amp;Sewerage" sheetId="1" r:id="rId2"/>
    <sheet name="Table 3a-WWTP" sheetId="2" r:id="rId3"/>
    <sheet name="Table 3b. Plan WWTP(1)" sheetId="3" r:id="rId4"/>
    <sheet name="Table 3b. Plan WWTP (2)" sheetId="6" r:id="rId5"/>
    <sheet name="Table 3b. Plan WWTP (3)" sheetId="7" r:id="rId6"/>
    <sheet name="Table 3b. Plan WWTP (4)" sheetId="8" r:id="rId7"/>
    <sheet name="Table 3b. Plan WWTP (5)" sheetId="9" r:id="rId8"/>
    <sheet name="Table 3b. Plan WWTP (6)" sheetId="10" r:id="rId9"/>
    <sheet name="Table 3c-Promulgate doc" sheetId="4" r:id="rId10"/>
    <sheet name="Cover(Table 4)" sheetId="12" r:id="rId11"/>
    <sheet name="Table 4-Service charge" sheetId="5" r:id="rId12"/>
  </sheets>
  <definedNames>
    <definedName name="_xlnm.Print_Area" localSheetId="0">'Cover(Table 3)'!$A$1:$I$57</definedName>
    <definedName name="_xlnm.Print_Area" localSheetId="10">'Cover(Table 4)'!$A$1:$I$57</definedName>
    <definedName name="_xlnm.Print_Area" localSheetId="4">'Table 3b. Plan WWTP (2)'!$A$1:$D$34</definedName>
    <definedName name="_xlnm.Print_Area" localSheetId="5">'Table 3b. Plan WWTP (3)'!$A$1:$D$27</definedName>
    <definedName name="_xlnm.Print_Area" localSheetId="6">'Table 3b. Plan WWTP (4)'!$A$1:$E$20</definedName>
    <definedName name="_xlnm.Print_Area" localSheetId="7">'Table 3b. Plan WWTP (5)'!$A$1:$D$28</definedName>
    <definedName name="_xlnm.Print_Area" localSheetId="3">'Table 3b. Plan WWTP(1)'!$A$1:$E$29</definedName>
    <definedName name="_xlnm.Print_Area" localSheetId="11">'Table 4-Service charge'!$A$1:$K$11</definedName>
    <definedName name="_xlnm.Print_Titles" localSheetId="2">'Table 3a-WWTP'!$3:$4</definedName>
    <definedName name="_xlnm.Print_Titles" localSheetId="9">'Table 3c-Promulgate doc'!$3:$3</definedName>
    <definedName name="_xlnm.Print_Titles" localSheetId="1">'Table 3-Drainage&amp;Sewerage'!$3:$5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2" l="1"/>
  <c r="D46" i="2"/>
  <c r="E40" i="2"/>
  <c r="D40" i="2"/>
  <c r="E20" i="2"/>
  <c r="D20" i="2"/>
  <c r="E15" i="2"/>
  <c r="D15" i="2"/>
  <c r="E14" i="2"/>
  <c r="E12" i="2" s="1"/>
  <c r="D14" i="2"/>
  <c r="E13" i="2"/>
  <c r="D13" i="2"/>
  <c r="D12" i="2"/>
  <c r="E5" i="2"/>
  <c r="D5" i="2"/>
</calcChain>
</file>

<file path=xl/sharedStrings.xml><?xml version="1.0" encoding="utf-8"?>
<sst xmlns="http://schemas.openxmlformats.org/spreadsheetml/2006/main" count="579" uniqueCount="433">
  <si>
    <t>SURVEY RESULT</t>
  </si>
  <si>
    <t xml:space="preserve">Table 3: Drainage/Sewerage System and Promulgated documents related to the field of drainage/sewerage </t>
  </si>
  <si>
    <t>No</t>
    <phoneticPr fontId="3" type="noConversion"/>
  </si>
  <si>
    <t>Name of provinces/cities</t>
  </si>
  <si>
    <t>Urban level</t>
  </si>
  <si>
    <t>Separated system</t>
  </si>
  <si>
    <t>Combined sewer system</t>
  </si>
  <si>
    <t>Area covered with wastewater collection sytem</t>
  </si>
  <si>
    <t>Generated wastewater volume</t>
  </si>
  <si>
    <t>Percentage of household connections</t>
  </si>
  <si>
    <t>Total length of pipe/ diameter</t>
  </si>
  <si>
    <t>Number of wastwater pumping stations/ capacity</t>
  </si>
  <si>
    <t>Number of drainage pumping station/ capacity</t>
  </si>
  <si>
    <t>Total length of drainage channel/canal/diameter</t>
  </si>
  <si>
    <t>Number of regulation lake/ storage area</t>
  </si>
  <si>
    <t>Capacity of each wastewater pumping station</t>
  </si>
  <si>
    <t>km</t>
  </si>
  <si>
    <t>unit</t>
  </si>
  <si>
    <t>m3/s</t>
  </si>
  <si>
    <t>ha</t>
  </si>
  <si>
    <t>%</t>
  </si>
  <si>
    <t>Ha Noi</t>
  </si>
  <si>
    <t>Special</t>
  </si>
  <si>
    <t>Sewer: 5183,12km.
Main channel: 230,085km</t>
  </si>
  <si>
    <t>Main PS: 
1. Yen So: 90m3/s
2. Bac Thang Long: 20m3/s; 
3. Dong Tru Bridge: 2m3/s,
4. Dong Bong 1: 16m3/s, 
5. Dong Bong 2: 12m3/s, 
6. Co Nhue 12m3/s, 
7. Cau Buou: 5m3/s</t>
  </si>
  <si>
    <t>Hai Phong</t>
  </si>
  <si>
    <t>I</t>
  </si>
  <si>
    <t>Sewer: 99.165km.
Main channel: 259.655km</t>
  </si>
  <si>
    <t>Regulation lake: 73,2ha</t>
  </si>
  <si>
    <t>1.Vinh Niem: 820ha; 
2. Trang Minh: 380ha; 
3. Himlam: 12ha</t>
  </si>
  <si>
    <t>Hai Duong</t>
  </si>
  <si>
    <t>Nam Dinh</t>
  </si>
  <si>
    <t>Channel: 45,61km; Sewer pipe: 271,1</t>
  </si>
  <si>
    <t>Regulation lake: 41,77ha</t>
  </si>
  <si>
    <t>TT Nam Giang:100.000; Quan Chuot: 57.000m3/h; Kenh Gia: 43.000m3/h</t>
  </si>
  <si>
    <t>Ninh Binh</t>
  </si>
  <si>
    <t>II</t>
  </si>
  <si>
    <t>Thai Binh</t>
  </si>
  <si>
    <t>5 PS: PS01: 314,96m3/h; PS02: 250m3/h; PS03: 541,67; PS04833,33m3/h; PS05: 250m3/h</t>
  </si>
  <si>
    <t>Sewer: 462,317km.Main channel: 150,521km</t>
  </si>
  <si>
    <t>179/395.092,79ha</t>
  </si>
  <si>
    <t>Bac Ninh</t>
  </si>
  <si>
    <t>Bac Ninh: 292km; Tu Son: Gravity pipe:33km, Pressure pipe: 5,6km</t>
  </si>
  <si>
    <t>Bac Ninh city: PS1: 203.496m3/year; PS2: 5.960.452m3/year;  PS3: 3.455.420m3/year; PS4: 636.285m3/year Tư Son: 11PS</t>
  </si>
  <si>
    <t>Hung Yen</t>
  </si>
  <si>
    <t>Ha Nam</t>
  </si>
  <si>
    <t>Sewer: 799,5km; Main channel: 636km</t>
  </si>
  <si>
    <t>436 /2076,3ha</t>
  </si>
  <si>
    <t>Bac Chau Giang: 1.490ha, Quy Luu: 180ha, Thanh Chau: 2.400ha, Cau Giat: 235ha, Hoa Mac: 50ha, Dong Van: 150ha, Dai Cuong: 12,4ha; Trung Dong: 18,6ha,  Chau river: 3,2ha, Vinh Tru:9,18ha.</t>
  </si>
  <si>
    <t>Vinh Phuc</t>
  </si>
  <si>
    <t>Vinh Yen: Secondary pipeline</t>
  </si>
  <si>
    <t>3 irrigation PS</t>
  </si>
  <si>
    <t>Total capacity: 145m3/s
Kim Xa: 30m3/s
Ngu Kien: 35m3/s
Nguyet Duc: 80m3/s</t>
  </si>
  <si>
    <t>Total: 80146
Urban area: 36974
Rural area: 43172</t>
  </si>
  <si>
    <t>Quang Ninh</t>
  </si>
  <si>
    <t>Note: The lacking information/data shall be collected through ATI support or during the site, if selected</t>
  </si>
  <si>
    <t>Table 3A: Wastewater Treatment Plant</t>
  </si>
  <si>
    <t>No</t>
    <phoneticPr fontId="3" type="noConversion"/>
  </si>
  <si>
    <t>Name of provinces
/cities</t>
    <phoneticPr fontId="3" type="noConversion"/>
  </si>
  <si>
    <t>Number of WWTP/ Designed capacity of WWTP/ Stations</t>
  </si>
  <si>
    <t>Operating capacity 
of each WWTP/ Station</t>
    <phoneticPr fontId="3" type="noConversion"/>
  </si>
  <si>
    <t>Name of WWTP</t>
  </si>
  <si>
    <t>No. of WWTP: 6</t>
  </si>
  <si>
    <t>Yen So WWTP</t>
  </si>
  <si>
    <t>Bay Mau lake WWTP</t>
  </si>
  <si>
    <t>North Thang Long - Van Tri WWTP</t>
  </si>
  <si>
    <t>Kim Lien wastewater treatment station</t>
  </si>
  <si>
    <t>Truc Bach wastewater treatment station</t>
  </si>
  <si>
    <t xml:space="preserve"> Ho Tay WWTP</t>
  </si>
  <si>
    <t>No. of WWTP: 3</t>
  </si>
  <si>
    <t xml:space="preserve"> Vinh Niem WWTP</t>
  </si>
  <si>
    <t>Trang Minh WWTP</t>
  </si>
  <si>
    <t>Him Lam WWTP</t>
  </si>
  <si>
    <t>Minh Duc WWTP</t>
  </si>
  <si>
    <t>Tien Lang WWTP</t>
  </si>
  <si>
    <t>Cat Ba WWTP</t>
  </si>
  <si>
    <t>Tung Dinh WWTP</t>
  </si>
  <si>
    <t>Ngoc Chau WWTP</t>
  </si>
  <si>
    <t>WWTP for Hai Duong city ecological tourist and service area</t>
  </si>
  <si>
    <t>WWTP for Thach Khoi residential, trading and handicraft area (stage 1)</t>
  </si>
  <si>
    <t>WWTP for Thai Binh Ecorivers area</t>
  </si>
  <si>
    <t>WWTP for Western new residential area of Nam Sach Town, Nam Sach district</t>
  </si>
  <si>
    <t>WWTP for Thanh Cong Eco-urban (stage 1)</t>
  </si>
  <si>
    <t>WWTP for new residentail area for Thanh Quang village-Quoc Tuan district</t>
  </si>
  <si>
    <t>WWTP for Nam Sach industrial zone</t>
  </si>
  <si>
    <t>WWTP for Phuc dien industrial zone</t>
  </si>
  <si>
    <t>WWTP for Phu Thai industrial zone</t>
  </si>
  <si>
    <t>WWTP for Tan Truong industrial zone</t>
  </si>
  <si>
    <t>WWTP for Dai An industrial zone</t>
  </si>
  <si>
    <t>WWTP for Extension Dai An industrial zone</t>
  </si>
  <si>
    <t>WWTP for An Phat High-tech indusrial zone</t>
  </si>
  <si>
    <t>WWTP for Lai Vu indistructial zone</t>
  </si>
  <si>
    <t>WWTP for Lai Cach industrial zone</t>
  </si>
  <si>
    <t>WWTP for Cong Hoa industrial zone</t>
  </si>
  <si>
    <t>WWTP for Cam Dien-Luong Dien industrial zone</t>
  </si>
  <si>
    <t>WWTP for Hoa Xa Industrial zone</t>
  </si>
  <si>
    <t>Number of WWTP: 13</t>
  </si>
  <si>
    <t>Bac Chau Giang WTP</t>
  </si>
  <si>
    <t>Quy Luu WTP</t>
  </si>
  <si>
    <t>Thanh Chau WTP</t>
  </si>
  <si>
    <t>Cau Giat Industrial Cluster WTP</t>
  </si>
  <si>
    <t>WTP for HM commercial urban area</t>
  </si>
  <si>
    <t>Dong Van Urban Area WWTP</t>
  </si>
  <si>
    <t>WWTP for Dai Cuong residential area</t>
  </si>
  <si>
    <t>WWTPt in the Middle East area</t>
  </si>
  <si>
    <t>WWTP for TEELHOMES Urban Area</t>
  </si>
  <si>
    <t>Tan Thanh Town wastewater treatment station No. 1, No. 2</t>
  </si>
  <si>
    <t>Kien Khe Town Wastewater Treatment Station No. 01, No. 02</t>
  </si>
  <si>
    <t>WWTP for Song Chau Factory in Vinh Tru town</t>
  </si>
  <si>
    <t>WWTP for Residential and commercial factory in Vinh Tru town</t>
  </si>
  <si>
    <t>Vinh Yen WWTP</t>
  </si>
  <si>
    <t>Vinh Yen WWTP stage 2</t>
  </si>
  <si>
    <t>Investment preparation for Phuc Yen Town WWTP</t>
  </si>
  <si>
    <t>Investment preparation for upgrading Quat Luu WWTP</t>
  </si>
  <si>
    <t>10 wastewater treatment stations for 10 communes</t>
  </si>
  <si>
    <t>Table 3B. Development Plan for Wastewater Treatment Plants</t>
  </si>
  <si>
    <t>(In accordance with the city/provincial development plan to 2030, vision to 2050)</t>
  </si>
  <si>
    <t>Development plan for water supply, sewage networks of Hai Phong City (Appedix VIII attached to Decision No. 1516/QĐ-TTg dated 02/12/2023 of the Prime Minister for Hai Phong provincial planning for period 2021-2030, vision to 2050)</t>
  </si>
  <si>
    <t>No.</t>
  </si>
  <si>
    <t>Wastewater drainage Areas</t>
  </si>
  <si>
    <t>Quantity of proposed WWTPs</t>
  </si>
  <si>
    <t xml:space="preserve">Renovate and upgrade wastewater treatment </t>
  </si>
  <si>
    <t>Zone 1+2: Central area and Eastern area (including Le Chan, Ngo Quyen, Hong Bang, Kien An, Hai An, Duong Kinh, Do Son and Kien Thuy districts)</t>
  </si>
  <si>
    <t>Zone 3: Northern region including Thuy Nguyen district</t>
  </si>
  <si>
    <t>Zone 4: Western region including An Duong, An Lao Districts</t>
  </si>
  <si>
    <t>Zone 5: Southern region including Tien Lang and Vinh Bao districts</t>
  </si>
  <si>
    <t>Region 6: Island area including Cat Hai and Bach Long Vi districts</t>
  </si>
  <si>
    <t>Construction of new wastewater treatment plants</t>
  </si>
  <si>
    <t>Development plan for sewage treatment plants of Hai Phong City (Appedix VIII attached to Decision No. 1516/QĐ-TTg dated 02/12/2023 of the Prime Minister for Hai Phong provincial planning for period 2021-2030, vision to 2050)</t>
  </si>
  <si>
    <t>Tên công trình</t>
  </si>
  <si>
    <t>Location</t>
  </si>
  <si>
    <t>Classify</t>
  </si>
  <si>
    <t>Solid waste treatment area in the North of Thuy Nguyen</t>
  </si>
  <si>
    <t>Thuy Nguyen District</t>
  </si>
  <si>
    <t>Provincial/ inter-district</t>
  </si>
  <si>
    <t>Tran Duong solid waste treatment areas</t>
  </si>
  <si>
    <t>Vinh Bao District</t>
  </si>
  <si>
    <t>Trang Cat solid waste treatment areas</t>
  </si>
  <si>
    <t>Hai An District</t>
  </si>
  <si>
    <t>Provincial/inter-district</t>
  </si>
  <si>
    <t>Dinh Vu solid waste treatment areas</t>
  </si>
  <si>
    <t>Hazardous solid waste treatment areas, district-level waste treatment areas and other waste treatment areas (arranged according to local demands)</t>
  </si>
  <si>
    <t>Hai Phong City</t>
  </si>
  <si>
    <t>Development plan for wastewater treatment plants for Hai Duong Province (Appedix XIII attached to Decision No. 1639/QĐ-TTg dated 19/12/2023 of the Prime Minister for Hai Duong provincial planning for period 2021-2030, vision to 2050)</t>
  </si>
  <si>
    <t>Items</t>
  </si>
  <si>
    <t>Proposed location</t>
  </si>
  <si>
    <t>Centralized wastewater treatment plants</t>
  </si>
  <si>
    <t>Hai Duong city</t>
  </si>
  <si>
    <t>Chi Linh city</t>
  </si>
  <si>
    <t>Kinh Mon town</t>
  </si>
  <si>
    <t>Binh Giang district</t>
  </si>
  <si>
    <t>Gia Loc district</t>
  </si>
  <si>
    <t>Tu Ky district</t>
  </si>
  <si>
    <t>Cam Giang district</t>
  </si>
  <si>
    <t>Nam Sach district</t>
  </si>
  <si>
    <t>Thanh Ha district</t>
  </si>
  <si>
    <t>Kim Thanh district</t>
  </si>
  <si>
    <t>Ninh Giang district</t>
  </si>
  <si>
    <t>Thanh Mien district</t>
  </si>
  <si>
    <t>Wastewater treatment plants/stations for the residential areas, urban areas and other projectsCác trạm xử lý nước thải của các dự án khu dân cư, khu đô thị, dự án khác</t>
  </si>
  <si>
    <t>Districts, towns, cities</t>
  </si>
  <si>
    <t>Conform to the approved projects</t>
  </si>
  <si>
    <t>Nam Dinh province</t>
  </si>
  <si>
    <t>Development plan for waste treatment plants for Nam Dinh Province (Appedix X attached to Decision No. 1729/QĐ-TTg dated 29/12/2023 of the Prime Minister for Nam Dinh provincial planning for period 2021-2030)</t>
  </si>
  <si>
    <t>Proposed area (ha)</t>
  </si>
  <si>
    <t>Waste treatment areas</t>
  </si>
  <si>
    <t>Loc Hoa, My Thanh solid waste treatment areas</t>
  </si>
  <si>
    <t>Nam Dinh City</t>
  </si>
  <si>
    <t>Industrial and hazaedous solid waste treatment area in Hoa Xa Industrial Park</t>
  </si>
  <si>
    <t>Lam Town solid waste treatment area</t>
  </si>
  <si>
    <t>Y Yen</t>
  </si>
  <si>
    <t>Yen Minh Commune solid waste treatment areas</t>
  </si>
  <si>
    <t>Lien Bao commune solid waste treatment areas</t>
  </si>
  <si>
    <t>Vu Ban</t>
  </si>
  <si>
    <t>Nam Giang waste treatment and scrap recycling plants</t>
  </si>
  <si>
    <t>Nam Truc</t>
  </si>
  <si>
    <t>Waste treatment complex in the North of Truc Ninh District</t>
  </si>
  <si>
    <t>Truc Ninh</t>
  </si>
  <si>
    <t>Nghia Thai Commune solid waste treatment areas</t>
  </si>
  <si>
    <t>Nghia Hung</t>
  </si>
  <si>
    <t>Rang Dong Town solid waste treatment areas</t>
  </si>
  <si>
    <t>Xuan Ninh Commune solid waste treatment areas</t>
  </si>
  <si>
    <t>Xuan Truong</t>
  </si>
  <si>
    <t>Xuan Truong Town solid waste treatment areas</t>
  </si>
  <si>
    <t>Quat Lam Town solid waste treatment areas</t>
  </si>
  <si>
    <t>Giao Thuy</t>
  </si>
  <si>
    <t>Gathering points/ transfer stations solid waste</t>
  </si>
  <si>
    <t>Districts/Cities</t>
  </si>
  <si>
    <t>Ninh Binh province</t>
  </si>
  <si>
    <t>Development plan for wastewater treatment plants for Ninh Binh Province (Appedix XIII attached to Decision No. 218/QĐ-TTg dated 04/03/2024 of the Prime Minister for Ninh Binh provincial planning for period 2021-2030, vision to 2050)</t>
  </si>
  <si>
    <t>Treatment areas</t>
  </si>
  <si>
    <t>New Construction</t>
  </si>
  <si>
    <t>New construction of 05 wastewater treatment plants in Ninh Binh city</t>
  </si>
  <si>
    <t>Ninh Binh City</t>
  </si>
  <si>
    <t>New construction of 04 wastewater treatment plants in Tam Diep city</t>
  </si>
  <si>
    <t>Tam Diep City</t>
  </si>
  <si>
    <t>New construction of 05 wastewater treatment plants in Nho Quan town</t>
  </si>
  <si>
    <t>Nho Quan Town</t>
  </si>
  <si>
    <t>Me urban areas wastewater treatment plants</t>
  </si>
  <si>
    <t>Me Town</t>
  </si>
  <si>
    <t>Yen Ninh urban areas wastewater treatment plants</t>
  </si>
  <si>
    <t>Yen Ninh Town</t>
  </si>
  <si>
    <t>Yen Thinh urban areas wastewater treatment plants</t>
  </si>
  <si>
    <t>Yen Thinh Town</t>
  </si>
  <si>
    <t>New construction of 02 wastewater treatment plants in Phat Diem urban areas</t>
  </si>
  <si>
    <t>Phat Diem Town</t>
  </si>
  <si>
    <t>Binh Minh urban areas wastewater treatment plants</t>
  </si>
  <si>
    <t>Binh Minh Town</t>
  </si>
  <si>
    <t>Wastewater treatment plants in new urban areas and functional areas identified according to urban planning, functional area planning and rural planning</t>
  </si>
  <si>
    <t>Upgrade, Renovation</t>
  </si>
  <si>
    <t>Ninh Binh city center wastewater treatment plants</t>
  </si>
  <si>
    <t>Ha Nam province</t>
  </si>
  <si>
    <t>Plan for arrangement of waste treatment areas in Ha Nam province ( attached to Decision No. 1686/QĐ-TTg dated 26/12/2023 of the Prime Minister for Ha Nam provincial planning for period 2021-2030, vision to 2050)</t>
  </si>
  <si>
    <t>Proposed Location</t>
  </si>
  <si>
    <t>Centralized solid waste treatment plants</t>
  </si>
  <si>
    <t>The Solid Waste Treatment Plant at Co Chay Valley, Thanh Thuy Commune, Thanh Liem District</t>
  </si>
  <si>
    <t>Thanh Liem District</t>
  </si>
  <si>
    <t>The Solid Waste Treatment Plant at Dam Gai Valley, Thanh Thuy Commune, Thanh Liem District</t>
  </si>
  <si>
    <t>The But Son, Xuan Thanh, Thanh Thang Cement Plants, etc.</t>
  </si>
  <si>
    <t>Thanh Liem District, Kim Bang District</t>
  </si>
  <si>
    <t xml:space="preserve">2.7. </t>
  </si>
  <si>
    <t>Hung Yen province</t>
  </si>
  <si>
    <t>Bac Ninh province</t>
  </si>
  <si>
    <t>Development plan for wastewater treatment plants for Bac Ninh Province (Appedix XII attached to Decision No. 1589/QĐ-TTg dated 08 /12/2023 of the Prime Minister for Bac Ninh provincial planning for period 2021-2030, vision to 2050)</t>
  </si>
  <si>
    <t>Northern Solid Waste Treatment Facility (Phu Lang - Que Vo) serving the treatment of domestic solid waste from the central urban area.</t>
  </si>
  <si>
    <t>Phu Lang Commune</t>
  </si>
  <si>
    <t>Plant for Sorting, Recycling and Treatment of Municipal and Industrial Waste at Gia Dong</t>
  </si>
  <si>
    <t>Thuan Thanh Town</t>
  </si>
  <si>
    <t>The Waste Treatment Area at Ngu Thai</t>
  </si>
  <si>
    <t>High-tech domestic solid waste treatment plant generates energy in Luong Tai district</t>
  </si>
  <si>
    <t>Luong Tai District</t>
  </si>
  <si>
    <t>Planning for Centralized Solid Waste Treatment Area</t>
  </si>
  <si>
    <t xml:space="preserve">Yen Phong District, Tu Son city, Tien Du District, Gia Binh District, Bac Ninh City </t>
  </si>
  <si>
    <t>15ha/area</t>
  </si>
  <si>
    <t>Thai Binh province</t>
  </si>
  <si>
    <t>Development plan for waste treatment plants for Thai Binh Province (Appedix X attached to Decision No. 1735/QĐ-TTg dated 29/12/2023 of the Prime Minister for Thai  Binh provincial planning for period 2021-2030, vision to 2050)</t>
  </si>
  <si>
    <t>Scope, Scale</t>
  </si>
  <si>
    <t>Processing technology</t>
  </si>
  <si>
    <t>Quynh Phu District</t>
  </si>
  <si>
    <t>District or inter-district</t>
  </si>
  <si>
    <t>Advanced, modern, meets legal regulations</t>
  </si>
  <si>
    <t>Dong Hung District</t>
  </si>
  <si>
    <t>Thai Thuy District</t>
  </si>
  <si>
    <t>Centralized solid waste treatment plants (*)</t>
  </si>
  <si>
    <t>Tien hai District</t>
  </si>
  <si>
    <t>Vu Thu District</t>
  </si>
  <si>
    <t>Kien Xuong District</t>
  </si>
  <si>
    <t>Hung Ha District</t>
  </si>
  <si>
    <t>Vinh Phuc province</t>
  </si>
  <si>
    <t>Development plan for water supply, sewage systems for Vinh Phuc Province (Appedix XII attached to Decision No. 158/QĐ-TTg dated 06/02/2024 of the Prime Minister for Vinh Phuc provincial planning for period 2021-2030, vision to 2050)</t>
  </si>
  <si>
    <t>Quantity of proposed works</t>
  </si>
  <si>
    <t>Renovations, Upgrades</t>
  </si>
  <si>
    <t>Wastewater treatment plants in Vinh Yen Central areas</t>
  </si>
  <si>
    <t>Western Vinh Yen area wastewater treatment plants</t>
  </si>
  <si>
    <t>South Vinh Yen wastewater treatment plants</t>
  </si>
  <si>
    <t>Northeast Vinh Yen area wastewater treatment plants</t>
  </si>
  <si>
    <t>Phuc Yen wastewater treatment plants</t>
  </si>
  <si>
    <t>Drainage and wastewater treatment works of the Water Resources and Flood Management Project in Vinh Phuc province</t>
  </si>
  <si>
    <t>Development plan for solid waste treatment areas for Vinh Phuc Province (Appedix XIII attached to Decision No. 158/QĐ-TTg dated 06/02/2024 of the Prime Minister for Vinh Phuc provincial planning for period 2021-2030, vision to 2050)</t>
  </si>
  <si>
    <t>Name of Projects</t>
  </si>
  <si>
    <t>Note</t>
  </si>
  <si>
    <t>Khai Quang Ward solid waste treatment areas</t>
  </si>
  <si>
    <t>Vinh Yen City</t>
  </si>
  <si>
    <t>New construction</t>
  </si>
  <si>
    <t>Ngoc Thanh commune solid waste treatment areas</t>
  </si>
  <si>
    <t>Phuc Yen City</t>
  </si>
  <si>
    <t>Waste recycling and solid waste treatment center in Thanh Cao village, Ngoc Thanh commune</t>
  </si>
  <si>
    <t>Dao Duc Town solid waste treatment areas</t>
  </si>
  <si>
    <t>Binh Xuyen District</t>
  </si>
  <si>
    <t>Solid waste treatment area in the planning proposed area of ​​Son Loi industrial cluster, Son Loi commune</t>
  </si>
  <si>
    <t>Upgrading capacity of solid waste treatment area in Hop Hoa town</t>
  </si>
  <si>
    <t>Tam Duong District</t>
  </si>
  <si>
    <t>Solid waste treatment areas at the land adjacent to Hop Thanh industrial cluster, Hop Chau town</t>
  </si>
  <si>
    <t>Tam Dao District</t>
  </si>
  <si>
    <t>Ngu Kien Ward solid waste treatment areas</t>
  </si>
  <si>
    <t>Vinh Tuong District</t>
  </si>
  <si>
    <t>Tho Tang Town and Ta Phu Ward solid waste treatment areas</t>
  </si>
  <si>
    <t>Tam Hong Town solid waste treatment areas</t>
  </si>
  <si>
    <t>Yen Lac District</t>
  </si>
  <si>
    <t>Nhao Son Ward solid waste treatment areas</t>
  </si>
  <si>
    <t>Song Lo District</t>
  </si>
  <si>
    <t>Quang Yen Ward solid waste treatment areas</t>
  </si>
  <si>
    <t>Xuan Hoa Ward solid waste treatment areas</t>
  </si>
  <si>
    <t>Lap Thach District</t>
  </si>
  <si>
    <t>Quang Ninh province</t>
  </si>
  <si>
    <t>Ha Long City</t>
  </si>
  <si>
    <t>Vu Oai and Hoa Binh Communes solid waste treatment center</t>
  </si>
  <si>
    <t>Solid waste treatment area at Viet Hung Industrial Park, west of the city</t>
  </si>
  <si>
    <t>Cam Pha City</t>
  </si>
  <si>
    <t>Solid waste treatment area at region 9, Mong Duong ward</t>
  </si>
  <si>
    <t>Hazardous solid waste treatment area at region 9, Mong Duong Ward, relocated from Quang Hanh</t>
  </si>
  <si>
    <t>Duong Huy solid waste treatment center, Cam Pha City</t>
  </si>
  <si>
    <t>III</t>
  </si>
  <si>
    <t>Dong Trieu Town</t>
  </si>
  <si>
    <t>Solid waste treatment plant in Truong Luong village, Trang Luong commune, Dong Trieu town</t>
  </si>
  <si>
    <t>Solid waste treatment area in Tan Tien village, An Sinh commune, Dong Trieu town</t>
  </si>
  <si>
    <t>IV</t>
  </si>
  <si>
    <t>Uong Bi City</t>
  </si>
  <si>
    <t>Khe Giang solid waste treatment area, Thuong Yen Cong commune, Uong Bi city</t>
  </si>
  <si>
    <t>Lam Thach Cement Factory solid waste treatment area</t>
  </si>
  <si>
    <t>Co-processing; constructing new waste recycling facilities</t>
  </si>
  <si>
    <t>V</t>
  </si>
  <si>
    <t>Quang Yen Town</t>
  </si>
  <si>
    <t>Dong Mai treatment arrea, QuangYen Town</t>
  </si>
  <si>
    <t>VI</t>
  </si>
  <si>
    <t>Mong Cai City</t>
  </si>
  <si>
    <t>Solid waste treatment area km 26 - Quang Nghia commune</t>
  </si>
  <si>
    <t>VII</t>
  </si>
  <si>
    <t>Hai Ha Commune</t>
  </si>
  <si>
    <t>Khu xử lý tại thôn 9, xã Quảng Long,Treatment area at village 9, Quang Long commune, Hai Ha district huyện Hải Hà</t>
  </si>
  <si>
    <t>Hazardous solid waste treatment area at Texhong Hai Ha Industrial Park</t>
  </si>
  <si>
    <t>VIII</t>
  </si>
  <si>
    <t>Tien Yen District</t>
  </si>
  <si>
    <t>Solid waste treatment area in Dong Hai commune, Tien Yen district</t>
  </si>
  <si>
    <t>IX</t>
  </si>
  <si>
    <t>Dam Ha District</t>
  </si>
  <si>
    <t>Duc Yen Solid waste treatment area</t>
  </si>
  <si>
    <t>X</t>
  </si>
  <si>
    <t>Van Don District</t>
  </si>
  <si>
    <t>Dai Xuyen Solid waste treatment area, van Don district</t>
  </si>
  <si>
    <t>( Reserved according to general planning)</t>
  </si>
  <si>
    <t>XI</t>
  </si>
  <si>
    <t>Co To District</t>
  </si>
  <si>
    <t>Truong Xuan solid waste treatment area</t>
  </si>
  <si>
    <t>XII</t>
  </si>
  <si>
    <t>Ba Che District</t>
  </si>
  <si>
    <t>Khe Ho treatment area</t>
  </si>
  <si>
    <t>XIII</t>
  </si>
  <si>
    <t>Binh Lieu District</t>
  </si>
  <si>
    <t>Vo Ngai Commune treatment area</t>
  </si>
  <si>
    <t>Hoanh Mo Commune treatment area</t>
  </si>
  <si>
    <t xml:space="preserve">Table 3C: Promulgated documents related to the field of drainage/sewerage </t>
  </si>
  <si>
    <t xml:space="preserve">Promulgated documents related to the field of drainage/sewerage </t>
  </si>
  <si>
    <t xml:space="preserve">Environmental fees and drainage charges </t>
  </si>
  <si>
    <t>Hanoi Capital Drainage Planning to 2030 and vision to 2050 approved by the Prime Minister in Decision No.725/QD-TTg dated 10/05/2013</t>
  </si>
  <si>
    <t>The city has built and issued Plan No. 312/KH-UBND dated 28/12/2021 top develop the urban drainage and wwastewater treatment system of Hanoi city</t>
  </si>
  <si>
    <t xml:space="preserve">Decision 1259/QD-TTG on approval of Ha Noi Capital Master Plan to 2030, vision to 2050; </t>
  </si>
  <si>
    <t>Decision 700/QĐ-TTg on approval  of adjusting the  Master Plan of Ha Noi Capital to 2045, vision 2065;</t>
  </si>
  <si>
    <t>Decision No.47/2017/QDD-UBND dated 29/12/2017 off the City People's Committee promulgating Regulations on management of drainage activities in Hai Phong city</t>
  </si>
  <si>
    <t>Hai Phong city's wastewater drainage Planningproject to 2025, vision to 2050 was approved by the City People's Committee in Decision No.626/QD-UBNDS dated 27/3/2018</t>
  </si>
  <si>
    <t>Environmental fees: 10%  Clean water price</t>
  </si>
  <si>
    <t>Hai Phong city's elevation and surface drainage Planningproject to 2025, vision to 2050 was approved by the City People's Committee in Decision No.510/QD-UBNDS dated 08/3/2018</t>
  </si>
  <si>
    <t>Drainage charges: 20% Clean water price</t>
  </si>
  <si>
    <t xml:space="preserve">Decision 1516/QD-TTG on approval of Hai Phong City  Master Plan for period 2021- 2030, vision to 2050; </t>
  </si>
  <si>
    <t>Hai Duong Provincial People's Committee issued Decision No. 23/2016/QD-UBND dated 05/08/2016 on management of drainage and wastewater treatment activities in Hai Duong province</t>
  </si>
  <si>
    <t>Hai Duong Provincial People's Committee issued Decision No. 2820/QD-UBND dated 25/11/2013 on approving the strategic orientation for developing a drainage system to collect and treat wastewater in urban areas, craft villages, and industrial zones, industrial clusters and hospitals in Hai Duong province by 2030; estimate costs for implementing Component 2 roadmap and establish orientation.</t>
  </si>
  <si>
    <t>Hai Duong Provincial People's Committee issued Decision No. 1503/QD-UBND dated 10/06/2016 on regulating the collection rate and roadmap for collecting sewerage service fees in Hai Duong city, Hai Duong province.</t>
  </si>
  <si>
    <t xml:space="preserve">Decision 1639/QD-TTG on approval of Hai Duong Provincial Master Plan for period 2021-2030, vision to 2050; </t>
  </si>
  <si>
    <t>Decision No. 38/2019/QD-UBND dated 24/10/2019 Promulgating regulations on connection to the drainage system in Nam Dinh city of Nam Dinh Provincial People's Committee</t>
  </si>
  <si>
    <t>Decision No. 1422/QD-TTg dated 17/09/2020 of the Prime Minister on approving the adjustment of Nam Dinh City General Planning to 2040, vision to 2050</t>
  </si>
  <si>
    <t>Decision No. 48/2021/QD-UBND dated October 28, 2021 Promulgating regulations on management of drainage and wastewater treatment activities in Nam Dinh province of Nam Dinh Provincial People's Committee.</t>
  </si>
  <si>
    <t>Nam Dinh Provincial People's Committee issued Decision No. 2796/QD-UBND dated 10/12/2018 approving the planning project for rainwater and wastewater drainage of Nam Dinh city until 2030, with a vision to 2050.</t>
  </si>
  <si>
    <t xml:space="preserve">Decision 1729/QD-TTG on approval of Nam Định Provincial Master Plan for period 2021-2030, vision to 2050; </t>
  </si>
  <si>
    <t xml:space="preserve">Decision 218/QD-TTG on approval of Ninh Bình  Provincial Master Plan for period 2021-2030, vision to 2050; </t>
  </si>
  <si>
    <t xml:space="preserve">Decision 1735/QD-TTG on approval of Thái Bình Provincial Master Plan for period 2021-2030, vision to 2050; </t>
  </si>
  <si>
    <t>Environmental fees: 1. Diem Dien Town: 10% Clean water price; Kien Xuong Town: 10% Clean water price</t>
  </si>
  <si>
    <t>Decision No. 02/2016/QD-UBND dated29/01/2016 of Bac Ninh Provincial People's Committee on promulgating regulations on drainage management in Bac Ninh province</t>
  </si>
  <si>
    <t xml:space="preserve">Decision 1589/QD-TTG on approval of Bắc Ninh Provincial Master Plan for period 2021-2030, vision to 2050; </t>
  </si>
  <si>
    <t>Decision No. 03/2018/QD-UBND dated 31/01/2018 of Bac Ninh Provincial People's Committee on promulgating environmental technical regulations for wastewater applicable in Bac Ninh province</t>
  </si>
  <si>
    <t>Decision No. 175/QD-UBND dated 19/01/2023 of Hung Yen Provincial People's Committee approving the Project "Collection and treatment of domestic wastewater in rural residential areas in the province to 2030, with a vision to 2045".</t>
  </si>
  <si>
    <t>Ha Nam Provincial People's Committee issued Decision No. 35/2019/QD-UBND dated 9/9/2019 promulgating "Regulations on management of drainage and wastewater treatment activities in Ha Nam province"</t>
  </si>
  <si>
    <t xml:space="preserve">Decision 1686/QD-TTG on approval of Hà Nam Provincial Master Plan for period 2021-2030, vision to 2050; </t>
  </si>
  <si>
    <t>Environmental fees :</t>
  </si>
  <si>
    <t>Phu Ly City: 10% Clean water price</t>
  </si>
  <si>
    <t>Duy Tien Town: 10% Clean water price</t>
  </si>
  <si>
    <t>Kim, Bang District: 10% Clean water price</t>
  </si>
  <si>
    <t xml:space="preserve">Decision No.21/2018/QD-UBND dated 2/10/2018 of Vinh Phuc PPC promulgating regulations on management of drainage and wastewater treatment activities in Vinh Phuc Province
</t>
  </si>
  <si>
    <t xml:space="preserve">Decision 158/QD-TTG on approval of Vĩnh Phúc Provincial Master Plan for period 2021-2030, vision to 2050; </t>
  </si>
  <si>
    <t xml:space="preserve">Decision 80/QD-TTG on approval of Quảng Ninh Provincial Master Plan for period 2021-2030, vision to 2050; </t>
  </si>
  <si>
    <t>Table 4: Urban drainage and drainage charge in accordance with Decree 80/2015</t>
  </si>
  <si>
    <t>Urban drainage</t>
  </si>
  <si>
    <t>Drainage service charge in accordance with Decree 80/2015</t>
  </si>
  <si>
    <t>Stormwater drainage catchment</t>
  </si>
  <si>
    <t>Rainwater storage capacity of lakes/ponds</t>
  </si>
  <si>
    <t>Quantity and capacity of each urban drainage pumping station</t>
  </si>
  <si>
    <t>Quantity of flooding points and area of flooding/inundation in the urban</t>
  </si>
  <si>
    <t>Apllied only environmental protection charge</t>
  </si>
  <si>
    <t>Being building drainage service charges</t>
  </si>
  <si>
    <t>Already issued drainage service charges</t>
  </si>
  <si>
    <t>Applying environmental protection charge and drainage service charge together</t>
  </si>
  <si>
    <t>station</t>
  </si>
  <si>
    <t>point</t>
  </si>
  <si>
    <t>30 points/ Area of Flooding: 15ha</t>
  </si>
  <si>
    <t>x</t>
  </si>
  <si>
    <t>8PS: 1. May Den: 32.400m3/h, 2. Vinh niem: 32.400m3/h. 3. Ba Tong: 43.200m3/h; 4. Thuong Ly: 5.400m3/h; 5.South of Cam River:3.600; 6. Trai Chuoi: 3.600; 7. Bach Dang Underpass: 620m3/h; 8. Cau Rao Underpass: 714m3/h</t>
  </si>
  <si>
    <t>Nam Định</t>
  </si>
  <si>
    <t>Nam Dinh City: Northeast Catchment: 640ha, Southwest Catchment: 600ha</t>
  </si>
  <si>
    <t>Nam Dinh City: 6</t>
  </si>
  <si>
    <t>Nam Dinh City: 2PS</t>
  </si>
  <si>
    <t>Nam Dinh City: 8 points/23,5ha</t>
  </si>
  <si>
    <t>Phu Ly City: 7.742; Duy Tien Town: 12.091,9; Thanh Liem District: 3.314,8; Ly Nhan District: 1.553,51</t>
  </si>
  <si>
    <t>Phu Ly City: 7PS; Duy Tien Town: 21PS; Thanh Liem District: 5PS; Ly Nhan District: 1PS</t>
  </si>
  <si>
    <t>Phu Ly City: 7/95ha; Ly Nhan District: 15/74ha</t>
  </si>
  <si>
    <t>Phu Ly City; Duy Tien Town; Kim Bang District</t>
  </si>
  <si>
    <t>Thai Binh City: 6.843; Kien Xuong: 1.126,31; Vu Quy: 1.189; Quynh Coi: 90; An Bai: 300</t>
  </si>
  <si>
    <t>20.003points/ 3.177,83 ha</t>
  </si>
  <si>
    <t>Kien Xuong Town; Vu Quy Urban Area</t>
  </si>
  <si>
    <t>Thai Binh City; Kien Xuong Town; Vu Quy Urban Area</t>
  </si>
  <si>
    <t xml:space="preserve">Blank </t>
    <phoneticPr fontId="3" type="noConversion"/>
  </si>
  <si>
    <t>Proposed area 
(ha)</t>
    <phoneticPr fontId="3" type="noConversion"/>
  </si>
  <si>
    <r>
      <t>Propose capacity
(m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/d)</t>
    </r>
    <phoneticPr fontId="3" type="noConversion"/>
  </si>
  <si>
    <t>Blank</t>
    <phoneticPr fontId="3" type="noConversion"/>
  </si>
  <si>
    <r>
      <t xml:space="preserve">Note: </t>
    </r>
    <r>
      <rPr>
        <sz val="10"/>
        <rFont val="Times New Roman"/>
        <family val="1"/>
      </rPr>
      <t>Capacity of the wastewater treatment plants/stations may be adjusted accordingly to thewith actual needs for the projects in conformity with the general urban plan, district regional plan to adapt the social economic development requirements</t>
    </r>
  </si>
  <si>
    <r>
      <t xml:space="preserve">Planning of </t>
    </r>
    <r>
      <rPr>
        <b/>
        <sz val="10"/>
        <color rgb="FFFF0000"/>
        <rFont val="Times New Roman"/>
        <family val="1"/>
      </rPr>
      <t>solid waste treatment</t>
    </r>
    <r>
      <rPr>
        <b/>
        <sz val="10"/>
        <rFont val="Times New Roman"/>
        <family val="1"/>
      </rPr>
      <t xml:space="preserve"> areas in Quang Ninh province (Appedix XXV attached to Decision No. 80/QĐ-TTg dated 11/02/2023 of the Prime Minister for Quang Ninh provincial planning for period 2021-2030)</t>
    </r>
    <phoneticPr fontId="3" type="noConversion"/>
  </si>
  <si>
    <t>No</t>
    <phoneticPr fontId="3" type="noConversion"/>
  </si>
  <si>
    <t xml:space="preserve">Regional planning and provincial planning 
on waste water treatment </t>
    <phoneticPr fontId="3" type="noConversion"/>
  </si>
  <si>
    <t>Name of provinces/
cities</t>
    <phoneticPr fontId="3" type="noConversion"/>
  </si>
  <si>
    <t>WWTP for new residentail area for Tu Minh ward of Hai Duong city, Tru village of Lai Cach town, Cam Giang district</t>
    <phoneticPr fontId="3" type="noConversion"/>
  </si>
  <si>
    <t>Designed 
capacity
(m3/day)</t>
    <phoneticPr fontId="3" type="noConversion"/>
  </si>
  <si>
    <r>
      <t xml:space="preserve">Number of WWTP: 19
</t>
    </r>
    <r>
      <rPr>
        <b/>
        <i/>
        <sz val="11"/>
        <rFont val="Times New Roman"/>
        <family val="1"/>
      </rPr>
      <t>Total design capacity /47.970m3/day: Urban Area: 21.800m3/day; Industrial Area: 26.170m3/day</t>
    </r>
    <phoneticPr fontId="3" type="noConversion"/>
  </si>
  <si>
    <r>
      <t>Total capacity
: 170 -4 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</t>
    </r>
    <phoneticPr fontId="3" type="noConversion"/>
  </si>
  <si>
    <r>
      <rPr>
        <b/>
        <sz val="11"/>
        <rFont val="Times New Roman"/>
        <family val="1"/>
      </rPr>
      <t>Urban Area</t>
    </r>
    <r>
      <rPr>
        <sz val="11"/>
        <rFont val="Times New Roman"/>
        <family val="1"/>
      </rPr>
      <t>: 
Thai Binh City WTP; 10.000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/day; 
</t>
    </r>
    <r>
      <rPr>
        <b/>
        <sz val="11"/>
        <rFont val="Times New Roman"/>
        <family val="1"/>
      </rPr>
      <t>Industry Area:</t>
    </r>
    <r>
      <rPr>
        <sz val="11"/>
        <rFont val="Times New Roman"/>
        <family val="1"/>
      </rPr>
      <t xml:space="preserve"> 
1. Phuc Khanh: 2.000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2. Nguyen Duc Canh: 4.560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3: Gia Le: 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4. Song Tra: 3.700 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
5. Tien Hai: 3.500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6. Cau Nghin: 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7.Lien Ha Thai: 5.000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</t>
    </r>
    <phoneticPr fontId="3" type="noConversion"/>
  </si>
  <si>
    <r>
      <t>Bac Ninh: 28.000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   
Tu Son: 33.000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
Phong Khe: 5.000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/day; </t>
    </r>
    <phoneticPr fontId="3" type="noConversion"/>
  </si>
  <si>
    <r>
      <t>Bac Ninh: 18.000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            
Tu Son: 17.000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</t>
    </r>
    <phoneticPr fontId="3" type="noConversion"/>
  </si>
  <si>
    <r>
      <t>Number of WWTP: 04/7.620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</t>
    </r>
    <phoneticPr fontId="3" type="noConversion"/>
  </si>
  <si>
    <r>
      <t>Don't have WWTP for domestic 
have 3 WWTP for 3 industrial zones with total design capacity: 14,500 m3/d
operating capacity: 12,500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</t>
    </r>
    <phoneticPr fontId="3" type="noConversion"/>
  </si>
  <si>
    <r>
      <rPr>
        <b/>
        <sz val="11"/>
        <rFont val="Times New Roman"/>
        <family val="1"/>
      </rPr>
      <t>Urban Area</t>
    </r>
    <r>
      <rPr>
        <sz val="11"/>
        <rFont val="Times New Roman"/>
        <family val="1"/>
      </rPr>
      <t>: 
Thai Binh City WTP;  9.933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/day; 
</t>
    </r>
    <r>
      <rPr>
        <b/>
        <sz val="11"/>
        <rFont val="Times New Roman"/>
        <family val="1"/>
      </rPr>
      <t>Industry Area</t>
    </r>
    <r>
      <rPr>
        <sz val="11"/>
        <rFont val="Times New Roman"/>
        <family val="1"/>
      </rPr>
      <t>: 
1. Phuc Khanh: 792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2. Nguyen Duc Canh: 776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3: Gia Le: 350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4. Song Tra: 353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5. Tien Hai: 3.500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6. Cau Nghin: 500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/day; 
7.Lien Ha Thai: 110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/day</t>
    </r>
    <phoneticPr fontId="3" type="noConversion"/>
  </si>
  <si>
    <t>3.1. Hanoi City</t>
    <phoneticPr fontId="3" type="noConversion"/>
  </si>
  <si>
    <t>3.2 Hai Phong City</t>
    <phoneticPr fontId="3" type="noConversion"/>
  </si>
  <si>
    <t xml:space="preserve">3.4. </t>
    <phoneticPr fontId="3" type="noConversion"/>
  </si>
  <si>
    <t>Hai Duong province</t>
    <phoneticPr fontId="3" type="noConversion"/>
  </si>
  <si>
    <t xml:space="preserve">3.5. </t>
    <phoneticPr fontId="3" type="noConversion"/>
  </si>
  <si>
    <t xml:space="preserve">3.6. </t>
    <phoneticPr fontId="3" type="noConversion"/>
  </si>
  <si>
    <t xml:space="preserve">3.8. </t>
    <phoneticPr fontId="3" type="noConversion"/>
  </si>
  <si>
    <t xml:space="preserve">3.9. </t>
    <phoneticPr fontId="3" type="noConversion"/>
  </si>
  <si>
    <t xml:space="preserve">3.10. </t>
    <phoneticPr fontId="3" type="noConversion"/>
  </si>
  <si>
    <t xml:space="preserve">3.11. </t>
    <phoneticPr fontId="3" type="noConversion"/>
  </si>
  <si>
    <t xml:space="preserve"> Planning 
scale (ha)</t>
    <phoneticPr fontId="3" type="noConversion"/>
  </si>
  <si>
    <t>Table 3A  Wastewater Treatment Plant</t>
    <phoneticPr fontId="3" type="noConversion"/>
  </si>
  <si>
    <t>Table 3B  Development Plan for Wastewater Treatment Plants</t>
    <phoneticPr fontId="3" type="noConversion"/>
  </si>
  <si>
    <t xml:space="preserve">Table 3C  Promulgated documents related to 
                  the field of drainage/sewerage </t>
    <phoneticPr fontId="3" type="noConversion"/>
  </si>
  <si>
    <t xml:space="preserve">Table 3. Drainage/Sewerage System and 
Promulgated documents related to the field of drainage/sewerage </t>
    <phoneticPr fontId="3" type="noConversion"/>
  </si>
  <si>
    <t>Table 4: Urban drainage and drainage charge in accordance 
with Decree 80/2015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</si>
</sst>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(* #,##0_);_(* \(#,##0\);_(* &quot;-&quot;??_);_(@_)"/>
    <numFmt numFmtId="177" formatCode="_(* #,##0.00_);_(* \(#,##0.00\);_(* &quot;-&quot;??_);_(@_)"/>
    <numFmt numFmtId="178" formatCode="#,##0_ "/>
  </numFmts>
  <fonts count="24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8"/>
      <name val="돋움"/>
      <family val="3"/>
      <charset val="129"/>
    </font>
    <font>
      <sz val="14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5"/>
      <name val="Times New Roman"/>
      <family val="1"/>
    </font>
    <font>
      <b/>
      <sz val="10"/>
      <name val="Times New Roman"/>
      <family val="1"/>
    </font>
    <font>
      <b/>
      <vertAlign val="superscript"/>
      <sz val="12"/>
      <name val="Times New Roman"/>
      <family val="1"/>
    </font>
    <font>
      <sz val="15"/>
      <name val="Arial"/>
      <family val="2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0"/>
      <color rgb="FFFF0000"/>
      <name val="Times New Roman"/>
      <family val="1"/>
    </font>
    <font>
      <sz val="15"/>
      <name val="Times New Roman"/>
      <family val="1"/>
    </font>
    <font>
      <vertAlign val="superscript"/>
      <sz val="11"/>
      <name val="Times New Roman"/>
      <family val="1"/>
    </font>
    <font>
      <b/>
      <sz val="13"/>
      <name val="Times New Roman"/>
      <family val="1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7" fontId="1" fillId="0" borderId="0" applyFont="0" applyFill="0" applyBorder="0" applyAlignment="0" applyProtection="0"/>
  </cellStyleXfs>
  <cellXfs count="379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Fill="1" applyAlignment="1">
      <alignment vertical="top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3" fontId="7" fillId="0" borderId="13" xfId="0" applyNumberFormat="1" applyFont="1" applyFill="1" applyBorder="1" applyAlignment="1">
      <alignment horizontal="center" vertical="center" wrapText="1"/>
    </xf>
    <xf numFmtId="3" fontId="7" fillId="0" borderId="13" xfId="0" applyNumberFormat="1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top"/>
    </xf>
    <xf numFmtId="3" fontId="7" fillId="0" borderId="13" xfId="0" applyNumberFormat="1" applyFont="1" applyFill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left" vertical="center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vertical="top"/>
    </xf>
    <xf numFmtId="0" fontId="7" fillId="0" borderId="14" xfId="0" applyFont="1" applyFill="1" applyBorder="1" applyAlignment="1">
      <alignment vertical="top"/>
    </xf>
    <xf numFmtId="3" fontId="7" fillId="0" borderId="14" xfId="0" applyNumberFormat="1" applyFont="1" applyFill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8" fillId="5" borderId="0" xfId="0" applyFont="1" applyFill="1" applyAlignment="1">
      <alignment vertical="top"/>
    </xf>
    <xf numFmtId="0" fontId="2" fillId="5" borderId="0" xfId="0" applyFont="1" applyFill="1" applyAlignment="1">
      <alignment horizontal="center" vertical="top"/>
    </xf>
    <xf numFmtId="0" fontId="4" fillId="5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horizontal="center" vertical="top"/>
    </xf>
    <xf numFmtId="0" fontId="11" fillId="0" borderId="0" xfId="0" applyFont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center" vertical="top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1" fillId="0" borderId="25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178" fontId="8" fillId="0" borderId="8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top"/>
    </xf>
    <xf numFmtId="0" fontId="16" fillId="0" borderId="0" xfId="0" applyFont="1" applyFill="1" applyAlignment="1">
      <alignment vertical="center"/>
    </xf>
    <xf numFmtId="0" fontId="13" fillId="0" borderId="0" xfId="0" applyFont="1" applyFill="1" applyAlignment="1">
      <alignment vertical="top"/>
    </xf>
    <xf numFmtId="0" fontId="16" fillId="0" borderId="0" xfId="0" applyFont="1" applyFill="1" applyAlignment="1">
      <alignment vertical="top"/>
    </xf>
    <xf numFmtId="0" fontId="14" fillId="0" borderId="0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32" xfId="0" applyNumberFormat="1" applyFont="1" applyBorder="1" applyAlignment="1">
      <alignment horizontal="center" vertical="center" wrapText="1"/>
    </xf>
    <xf numFmtId="3" fontId="8" fillId="6" borderId="14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3" fontId="8" fillId="0" borderId="4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8" fillId="5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vertical="center" wrapText="1"/>
    </xf>
    <xf numFmtId="0" fontId="7" fillId="0" borderId="17" xfId="0" applyFont="1" applyFill="1" applyBorder="1" applyAlignment="1">
      <alignment vertical="center"/>
    </xf>
    <xf numFmtId="0" fontId="7" fillId="0" borderId="44" xfId="0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/>
    </xf>
    <xf numFmtId="0" fontId="7" fillId="0" borderId="4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9" xfId="0" applyFont="1" applyBorder="1" applyAlignment="1">
      <alignment vertical="center"/>
    </xf>
    <xf numFmtId="0" fontId="8" fillId="0" borderId="19" xfId="0" applyFont="1" applyFill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8" fillId="0" borderId="1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2" fontId="7" fillId="0" borderId="8" xfId="0" applyNumberFormat="1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/>
    </xf>
    <xf numFmtId="2" fontId="7" fillId="0" borderId="11" xfId="0" applyNumberFormat="1" applyFont="1" applyFill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top"/>
    </xf>
    <xf numFmtId="0" fontId="13" fillId="5" borderId="0" xfId="0" applyFont="1" applyFill="1" applyAlignment="1">
      <alignment vertical="top"/>
    </xf>
    <xf numFmtId="0" fontId="8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3" fontId="8" fillId="5" borderId="7" xfId="0" applyNumberFormat="1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4" fontId="7" fillId="0" borderId="3" xfId="0" applyNumberFormat="1" applyFont="1" applyFill="1" applyBorder="1" applyAlignment="1">
      <alignment horizontal="center" vertical="center" wrapText="1"/>
    </xf>
    <xf numFmtId="4" fontId="7" fillId="0" borderId="7" xfId="0" applyNumberFormat="1" applyFont="1" applyFill="1" applyBorder="1" applyAlignment="1">
      <alignment horizontal="center" vertical="center" wrapText="1"/>
    </xf>
    <xf numFmtId="4" fontId="7" fillId="0" borderId="10" xfId="0" applyNumberFormat="1" applyFont="1" applyFill="1" applyBorder="1" applyAlignment="1">
      <alignment horizontal="center" vertical="center" wrapText="1"/>
    </xf>
    <xf numFmtId="3" fontId="7" fillId="0" borderId="3" xfId="0" applyNumberFormat="1" applyFont="1" applyFill="1" applyBorder="1" applyAlignment="1">
      <alignment horizontal="left" vertical="center" wrapText="1"/>
    </xf>
    <xf numFmtId="3" fontId="7" fillId="0" borderId="7" xfId="0" applyNumberFormat="1" applyFont="1" applyFill="1" applyBorder="1" applyAlignment="1">
      <alignment horizontal="left" vertical="center" wrapText="1"/>
    </xf>
    <xf numFmtId="3" fontId="7" fillId="0" borderId="10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0" borderId="25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Fill="1" applyAlignment="1">
      <alignment horizontal="left" vertical="center" wrapText="1"/>
    </xf>
    <xf numFmtId="0" fontId="14" fillId="0" borderId="25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176" fontId="7" fillId="0" borderId="8" xfId="1" applyNumberFormat="1" applyFont="1" applyFill="1" applyBorder="1" applyAlignment="1">
      <alignment vertical="center" wrapText="1"/>
    </xf>
    <xf numFmtId="176" fontId="7" fillId="0" borderId="11" xfId="1" applyNumberFormat="1" applyFont="1" applyFill="1" applyBorder="1" applyAlignment="1">
      <alignment vertical="center" wrapText="1"/>
    </xf>
    <xf numFmtId="0" fontId="7" fillId="0" borderId="8" xfId="0" applyFont="1" applyFill="1" applyBorder="1" applyAlignment="1">
      <alignment horizontal="right" vertical="center" wrapText="1"/>
    </xf>
    <xf numFmtId="0" fontId="7" fillId="0" borderId="11" xfId="0" applyFont="1" applyFill="1" applyBorder="1" applyAlignment="1">
      <alignment horizontal="right" vertical="center" wrapText="1"/>
    </xf>
    <xf numFmtId="0" fontId="7" fillId="0" borderId="4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vertical="center"/>
    </xf>
    <xf numFmtId="176" fontId="10" fillId="0" borderId="8" xfId="1" applyNumberFormat="1" applyFont="1" applyFill="1" applyBorder="1" applyAlignment="1">
      <alignment horizontal="right" vertical="center" wrapText="1"/>
    </xf>
    <xf numFmtId="176" fontId="10" fillId="0" borderId="8" xfId="1" applyNumberFormat="1" applyFont="1" applyFill="1" applyBorder="1" applyAlignment="1">
      <alignment vertical="center" wrapText="1"/>
    </xf>
    <xf numFmtId="176" fontId="10" fillId="0" borderId="11" xfId="1" applyNumberFormat="1" applyFont="1" applyFill="1" applyBorder="1" applyAlignment="1">
      <alignment horizontal="right" vertical="center" wrapText="1"/>
    </xf>
    <xf numFmtId="3" fontId="7" fillId="0" borderId="4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3" fontId="7" fillId="0" borderId="8" xfId="0" applyNumberFormat="1" applyFont="1" applyBorder="1" applyAlignment="1">
      <alignment vertical="center"/>
    </xf>
    <xf numFmtId="3" fontId="7" fillId="0" borderId="11" xfId="0" applyNumberFormat="1" applyFont="1" applyBorder="1" applyAlignment="1">
      <alignment vertical="center"/>
    </xf>
    <xf numFmtId="0" fontId="5" fillId="0" borderId="3" xfId="0" applyFont="1" applyFill="1" applyBorder="1" applyAlignment="1">
      <alignment horizontal="left" vertical="center" wrapText="1" inden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10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horizontal="left" vertical="center" wrapText="1" indent="1"/>
    </xf>
    <xf numFmtId="176" fontId="5" fillId="0" borderId="4" xfId="1" applyNumberFormat="1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 wrapText="1" indent="1"/>
    </xf>
    <xf numFmtId="0" fontId="10" fillId="0" borderId="10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13" xfId="0" applyFont="1" applyBorder="1" applyAlignment="1">
      <alignment horizontal="left" vertical="center" wrapText="1" indent="1"/>
    </xf>
    <xf numFmtId="0" fontId="7" fillId="0" borderId="13" xfId="0" applyFont="1" applyFill="1" applyBorder="1" applyAlignment="1">
      <alignment horizontal="left" vertical="center" wrapText="1" indent="1"/>
    </xf>
    <xf numFmtId="0" fontId="7" fillId="0" borderId="14" xfId="0" applyFont="1" applyFill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top" wrapText="1" indent="1"/>
    </xf>
    <xf numFmtId="176" fontId="5" fillId="4" borderId="4" xfId="1" applyNumberFormat="1" applyFont="1" applyFill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right" vertical="center" wrapText="1" indent="1"/>
    </xf>
    <xf numFmtId="176" fontId="7" fillId="0" borderId="7" xfId="1" applyNumberFormat="1" applyFont="1" applyFill="1" applyBorder="1" applyAlignment="1">
      <alignment horizontal="right" vertical="center" wrapText="1" indent="1"/>
    </xf>
    <xf numFmtId="176" fontId="7" fillId="0" borderId="10" xfId="1" applyNumberFormat="1" applyFont="1" applyFill="1" applyBorder="1" applyAlignment="1">
      <alignment horizontal="right" vertical="center" wrapText="1" indent="1"/>
    </xf>
    <xf numFmtId="0" fontId="7" fillId="0" borderId="10" xfId="0" applyFont="1" applyFill="1" applyBorder="1" applyAlignment="1">
      <alignment horizontal="right" vertical="center" wrapText="1" indent="1"/>
    </xf>
    <xf numFmtId="0" fontId="7" fillId="0" borderId="3" xfId="0" applyFont="1" applyFill="1" applyBorder="1" applyAlignment="1">
      <alignment horizontal="right" vertical="center" wrapText="1" indent="1"/>
    </xf>
    <xf numFmtId="0" fontId="7" fillId="0" borderId="7" xfId="0" applyFont="1" applyFill="1" applyBorder="1" applyAlignment="1">
      <alignment horizontal="right" vertical="center" wrapText="1" indent="1"/>
    </xf>
    <xf numFmtId="176" fontId="5" fillId="0" borderId="3" xfId="1" applyNumberFormat="1" applyFont="1" applyFill="1" applyBorder="1" applyAlignment="1">
      <alignment horizontal="right" vertical="center" wrapText="1" indent="1"/>
    </xf>
    <xf numFmtId="176" fontId="5" fillId="4" borderId="3" xfId="1" applyNumberFormat="1" applyFont="1" applyFill="1" applyBorder="1" applyAlignment="1">
      <alignment horizontal="right" vertical="center" wrapText="1" indent="1"/>
    </xf>
    <xf numFmtId="0" fontId="7" fillId="0" borderId="13" xfId="0" applyFont="1" applyFill="1" applyBorder="1" applyAlignment="1">
      <alignment horizontal="right" vertical="top" indent="1"/>
    </xf>
    <xf numFmtId="0" fontId="7" fillId="0" borderId="13" xfId="0" applyFont="1" applyFill="1" applyBorder="1" applyAlignment="1">
      <alignment horizontal="right" vertical="top" wrapText="1" indent="1"/>
    </xf>
    <xf numFmtId="0" fontId="7" fillId="0" borderId="13" xfId="0" applyFont="1" applyBorder="1" applyAlignment="1">
      <alignment horizontal="right" vertical="top" wrapText="1" indent="1"/>
    </xf>
    <xf numFmtId="176" fontId="10" fillId="0" borderId="7" xfId="1" applyNumberFormat="1" applyFont="1" applyFill="1" applyBorder="1" applyAlignment="1">
      <alignment horizontal="right" vertical="center" wrapText="1" indent="1"/>
    </xf>
    <xf numFmtId="176" fontId="10" fillId="0" borderId="10" xfId="1" applyNumberFormat="1" applyFont="1" applyFill="1" applyBorder="1" applyAlignment="1">
      <alignment horizontal="right" vertical="center" wrapText="1" indent="1"/>
    </xf>
    <xf numFmtId="0" fontId="7" fillId="0" borderId="3" xfId="0" applyFont="1" applyBorder="1" applyAlignment="1">
      <alignment horizontal="right" vertical="center" indent="1"/>
    </xf>
    <xf numFmtId="0" fontId="7" fillId="0" borderId="7" xfId="0" applyFont="1" applyBorder="1" applyAlignment="1">
      <alignment horizontal="right" vertical="center" indent="1"/>
    </xf>
    <xf numFmtId="0" fontId="13" fillId="0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6" borderId="31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left" vertical="center" wrapText="1"/>
    </xf>
    <xf numFmtId="0" fontId="22" fillId="6" borderId="34" xfId="0" applyFont="1" applyFill="1" applyBorder="1" applyAlignment="1">
      <alignment horizontal="left" vertical="center" wrapText="1"/>
    </xf>
    <xf numFmtId="0" fontId="22" fillId="6" borderId="35" xfId="0" applyFont="1" applyFill="1" applyBorder="1" applyAlignment="1">
      <alignment horizontal="left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left" vertical="center" wrapText="1"/>
    </xf>
    <xf numFmtId="0" fontId="23" fillId="6" borderId="37" xfId="0" applyFont="1" applyFill="1" applyBorder="1" applyAlignment="1">
      <alignment horizontal="left" vertical="center" wrapText="1"/>
    </xf>
    <xf numFmtId="0" fontId="23" fillId="6" borderId="38" xfId="0" applyFont="1" applyFill="1" applyBorder="1" applyAlignment="1">
      <alignment horizontal="left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indent="1"/>
    </xf>
    <xf numFmtId="0" fontId="0" fillId="0" borderId="0" xfId="0" applyAlignment="1">
      <alignment horizontal="left" indent="1"/>
    </xf>
    <xf numFmtId="0" fontId="13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indent="1"/>
    </xf>
    <xf numFmtId="0" fontId="13" fillId="5" borderId="0" xfId="0" applyFont="1" applyFill="1" applyAlignment="1">
      <alignment horizontal="left" vertical="center"/>
    </xf>
    <xf numFmtId="0" fontId="13" fillId="6" borderId="21" xfId="0" applyFont="1" applyFill="1" applyBorder="1" applyAlignment="1">
      <alignment horizontal="center" vertical="center" wrapText="1"/>
    </xf>
    <xf numFmtId="0" fontId="13" fillId="6" borderId="48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3" fillId="6" borderId="48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5:I12"/>
  <sheetViews>
    <sheetView view="pageBreakPreview" zoomScale="145" zoomScaleNormal="100" zoomScaleSheetLayoutView="145" workbookViewId="0">
      <selection activeCell="M8" sqref="M8"/>
    </sheetView>
  </sheetViews>
  <sheetFormatPr defaultRowHeight="12.75" x14ac:dyDescent="0.2"/>
  <sheetData>
    <row r="5" spans="1:9" ht="55.5" customHeight="1" x14ac:dyDescent="0.2">
      <c r="A5" s="374" t="s">
        <v>431</v>
      </c>
      <c r="B5" s="377"/>
      <c r="C5" s="377"/>
      <c r="D5" s="377"/>
      <c r="E5" s="377"/>
      <c r="F5" s="377"/>
      <c r="G5" s="377"/>
      <c r="H5" s="377"/>
      <c r="I5" s="378"/>
    </row>
    <row r="8" spans="1:9" ht="19.5" x14ac:dyDescent="0.2">
      <c r="A8" s="369" t="s">
        <v>428</v>
      </c>
      <c r="B8" s="369"/>
      <c r="C8" s="369"/>
      <c r="D8" s="369"/>
      <c r="E8" s="369"/>
      <c r="F8" s="369"/>
      <c r="G8" s="369"/>
      <c r="H8" s="369"/>
      <c r="I8" s="369"/>
    </row>
    <row r="9" spans="1:9" x14ac:dyDescent="0.2">
      <c r="A9" s="370"/>
      <c r="B9" s="370"/>
      <c r="C9" s="370"/>
      <c r="D9" s="370"/>
      <c r="E9" s="370"/>
      <c r="F9" s="370"/>
      <c r="G9" s="370"/>
      <c r="H9" s="370"/>
      <c r="I9" s="370"/>
    </row>
    <row r="10" spans="1:9" ht="19.5" x14ac:dyDescent="0.2">
      <c r="A10" s="369" t="s">
        <v>429</v>
      </c>
      <c r="B10" s="369"/>
      <c r="C10" s="369"/>
      <c r="D10" s="369"/>
      <c r="E10" s="369"/>
      <c r="F10" s="369"/>
      <c r="G10" s="369"/>
      <c r="H10" s="369"/>
      <c r="I10" s="369"/>
    </row>
    <row r="11" spans="1:9" x14ac:dyDescent="0.2">
      <c r="A11" s="370"/>
      <c r="B11" s="370"/>
      <c r="C11" s="370"/>
      <c r="D11" s="370"/>
      <c r="E11" s="370"/>
      <c r="F11" s="370"/>
      <c r="G11" s="370"/>
      <c r="H11" s="370"/>
      <c r="I11" s="370"/>
    </row>
    <row r="12" spans="1:9" ht="39" customHeight="1" x14ac:dyDescent="0.2">
      <c r="A12" s="371" t="s">
        <v>430</v>
      </c>
      <c r="B12" s="372"/>
      <c r="C12" s="372"/>
      <c r="D12" s="372"/>
      <c r="E12" s="372"/>
      <c r="F12" s="372"/>
      <c r="G12" s="372"/>
      <c r="H12" s="372"/>
      <c r="I12" s="372"/>
    </row>
  </sheetData>
  <mergeCells count="4">
    <mergeCell ref="A5:I5"/>
    <mergeCell ref="A8:I8"/>
    <mergeCell ref="A10:I10"/>
    <mergeCell ref="A12:I1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view="pageBreakPreview" zoomScale="145" zoomScaleNormal="89" zoomScaleSheetLayoutView="145" workbookViewId="0">
      <selection activeCell="M8" sqref="M8"/>
    </sheetView>
  </sheetViews>
  <sheetFormatPr defaultColWidth="8.7109375" defaultRowHeight="15" x14ac:dyDescent="0.2"/>
  <cols>
    <col min="1" max="1" width="5.7109375" style="30" customWidth="1"/>
    <col min="2" max="2" width="14" style="26" customWidth="1"/>
    <col min="3" max="3" width="8.42578125" style="30" customWidth="1"/>
    <col min="4" max="4" width="13.140625" style="26" customWidth="1"/>
    <col min="5" max="5" width="18.7109375" style="26" customWidth="1"/>
    <col min="6" max="6" width="9.7109375" style="26" customWidth="1"/>
    <col min="7" max="7" width="16.42578125" style="26" customWidth="1"/>
    <col min="8" max="8" width="10.7109375" style="26" customWidth="1"/>
    <col min="9" max="9" width="12.28515625" style="26" customWidth="1"/>
    <col min="10" max="10" width="25.7109375" style="26" customWidth="1"/>
    <col min="11" max="11" width="18.7109375" style="26" customWidth="1"/>
    <col min="12" max="12" width="12.7109375" style="26" customWidth="1"/>
    <col min="13" max="13" width="10.7109375" style="26" customWidth="1"/>
    <col min="14" max="16384" width="8.7109375" style="26"/>
  </cols>
  <sheetData>
    <row r="1" spans="1:13" s="2" customFormat="1" ht="35.1" customHeight="1" x14ac:dyDescent="0.2">
      <c r="A1" s="75" t="s">
        <v>0</v>
      </c>
      <c r="C1" s="3"/>
    </row>
    <row r="2" spans="1:13" s="2" customFormat="1" ht="35.1" customHeight="1" x14ac:dyDescent="0.2">
      <c r="A2" s="75" t="s">
        <v>1</v>
      </c>
      <c r="B2" s="4"/>
      <c r="C2" s="5"/>
    </row>
    <row r="3" spans="1:13" s="6" customFormat="1" ht="39" customHeight="1" x14ac:dyDescent="0.2">
      <c r="A3" s="295" t="s">
        <v>2</v>
      </c>
      <c r="B3" s="215" t="s">
        <v>406</v>
      </c>
      <c r="C3" s="215" t="s">
        <v>4</v>
      </c>
      <c r="D3" s="200" t="s">
        <v>5</v>
      </c>
      <c r="E3" s="200"/>
      <c r="F3" s="200"/>
      <c r="G3" s="200" t="s">
        <v>6</v>
      </c>
      <c r="H3" s="200"/>
      <c r="I3" s="200"/>
      <c r="J3" s="200"/>
      <c r="K3" s="200" t="s">
        <v>7</v>
      </c>
      <c r="L3" s="200" t="s">
        <v>8</v>
      </c>
      <c r="M3" s="201" t="s">
        <v>9</v>
      </c>
    </row>
    <row r="4" spans="1:13" s="6" customFormat="1" ht="94.5" customHeight="1" x14ac:dyDescent="0.2">
      <c r="A4" s="296"/>
      <c r="B4" s="298"/>
      <c r="C4" s="298"/>
      <c r="D4" s="300" t="s">
        <v>10</v>
      </c>
      <c r="E4" s="300" t="s">
        <v>11</v>
      </c>
      <c r="F4" s="300" t="s">
        <v>12</v>
      </c>
      <c r="G4" s="300" t="s">
        <v>13</v>
      </c>
      <c r="H4" s="300" t="s">
        <v>14</v>
      </c>
      <c r="I4" s="300" t="s">
        <v>11</v>
      </c>
      <c r="J4" s="300" t="s">
        <v>15</v>
      </c>
      <c r="K4" s="301"/>
      <c r="L4" s="301"/>
      <c r="M4" s="302"/>
    </row>
    <row r="5" spans="1:13" s="7" customFormat="1" x14ac:dyDescent="0.2">
      <c r="A5" s="297"/>
      <c r="B5" s="299"/>
      <c r="C5" s="299"/>
      <c r="D5" s="303" t="s">
        <v>16</v>
      </c>
      <c r="E5" s="303"/>
      <c r="F5" s="303"/>
      <c r="G5" s="303" t="s">
        <v>16</v>
      </c>
      <c r="H5" s="303" t="s">
        <v>17</v>
      </c>
      <c r="I5" s="303"/>
      <c r="J5" s="303" t="s">
        <v>18</v>
      </c>
      <c r="K5" s="303"/>
      <c r="L5" s="303" t="s">
        <v>19</v>
      </c>
      <c r="M5" s="304" t="s">
        <v>20</v>
      </c>
    </row>
    <row r="6" spans="1:13" s="8" customFormat="1" ht="43.5" customHeight="1" x14ac:dyDescent="0.2">
      <c r="A6" s="202">
        <v>1</v>
      </c>
      <c r="B6" s="205" t="s">
        <v>21</v>
      </c>
      <c r="C6" s="188" t="s">
        <v>22</v>
      </c>
      <c r="D6" s="208">
        <v>3138.05</v>
      </c>
      <c r="E6" s="188"/>
      <c r="F6" s="188"/>
      <c r="G6" s="211" t="s">
        <v>23</v>
      </c>
      <c r="H6" s="188">
        <v>50</v>
      </c>
      <c r="I6" s="188">
        <v>59</v>
      </c>
      <c r="J6" s="191" t="s">
        <v>24</v>
      </c>
      <c r="K6" s="188"/>
      <c r="L6" s="194"/>
      <c r="M6" s="197">
        <v>20</v>
      </c>
    </row>
    <row r="7" spans="1:13" s="8" customFormat="1" ht="20.100000000000001" customHeight="1" x14ac:dyDescent="0.2">
      <c r="A7" s="203"/>
      <c r="B7" s="206"/>
      <c r="C7" s="189"/>
      <c r="D7" s="209"/>
      <c r="E7" s="189"/>
      <c r="F7" s="189"/>
      <c r="G7" s="212"/>
      <c r="H7" s="189"/>
      <c r="I7" s="189"/>
      <c r="J7" s="192"/>
      <c r="K7" s="189"/>
      <c r="L7" s="195"/>
      <c r="M7" s="198"/>
    </row>
    <row r="8" spans="1:13" s="8" customFormat="1" ht="20.100000000000001" customHeight="1" x14ac:dyDescent="0.2">
      <c r="A8" s="203"/>
      <c r="B8" s="206"/>
      <c r="C8" s="189"/>
      <c r="D8" s="209"/>
      <c r="E8" s="189"/>
      <c r="F8" s="189"/>
      <c r="G8" s="212"/>
      <c r="H8" s="189"/>
      <c r="I8" s="189"/>
      <c r="J8" s="192"/>
      <c r="K8" s="189"/>
      <c r="L8" s="195"/>
      <c r="M8" s="198"/>
    </row>
    <row r="9" spans="1:13" s="8" customFormat="1" ht="20.100000000000001" customHeight="1" x14ac:dyDescent="0.2">
      <c r="A9" s="203"/>
      <c r="B9" s="206"/>
      <c r="C9" s="189"/>
      <c r="D9" s="209"/>
      <c r="E9" s="189"/>
      <c r="F9" s="189"/>
      <c r="G9" s="212"/>
      <c r="H9" s="189"/>
      <c r="I9" s="189"/>
      <c r="J9" s="192"/>
      <c r="K9" s="189"/>
      <c r="L9" s="195"/>
      <c r="M9" s="198"/>
    </row>
    <row r="10" spans="1:13" s="8" customFormat="1" ht="20.100000000000001" customHeight="1" x14ac:dyDescent="0.2">
      <c r="A10" s="204"/>
      <c r="B10" s="207"/>
      <c r="C10" s="190"/>
      <c r="D10" s="210"/>
      <c r="E10" s="190"/>
      <c r="F10" s="190"/>
      <c r="G10" s="213"/>
      <c r="H10" s="190"/>
      <c r="I10" s="190"/>
      <c r="J10" s="193"/>
      <c r="K10" s="190"/>
      <c r="L10" s="196"/>
      <c r="M10" s="199"/>
    </row>
    <row r="11" spans="1:13" s="8" customFormat="1" ht="75" customHeight="1" x14ac:dyDescent="0.2">
      <c r="A11" s="9">
        <v>2</v>
      </c>
      <c r="B11" s="10" t="s">
        <v>25</v>
      </c>
      <c r="C11" s="11" t="s">
        <v>26</v>
      </c>
      <c r="D11" s="12">
        <v>6293</v>
      </c>
      <c r="E11" s="11"/>
      <c r="F11" s="11"/>
      <c r="G11" s="13" t="s">
        <v>27</v>
      </c>
      <c r="H11" s="11" t="s">
        <v>28</v>
      </c>
      <c r="I11" s="11">
        <v>27</v>
      </c>
      <c r="J11" s="11"/>
      <c r="K11" s="14" t="s">
        <v>29</v>
      </c>
      <c r="L11" s="15"/>
      <c r="M11" s="16">
        <v>99</v>
      </c>
    </row>
    <row r="12" spans="1:13" s="20" customFormat="1" ht="35.1" customHeight="1" x14ac:dyDescent="0.2">
      <c r="A12" s="9">
        <v>3</v>
      </c>
      <c r="B12" s="10" t="s">
        <v>30</v>
      </c>
      <c r="C12" s="11" t="s">
        <v>26</v>
      </c>
      <c r="D12" s="17"/>
      <c r="E12" s="17"/>
      <c r="F12" s="17"/>
      <c r="G12" s="17"/>
      <c r="H12" s="17"/>
      <c r="I12" s="17"/>
      <c r="J12" s="17"/>
      <c r="K12" s="17"/>
      <c r="L12" s="18"/>
      <c r="M12" s="19"/>
    </row>
    <row r="13" spans="1:13" s="8" customFormat="1" ht="71.25" customHeight="1" x14ac:dyDescent="0.2">
      <c r="A13" s="9">
        <v>4</v>
      </c>
      <c r="B13" s="10" t="s">
        <v>31</v>
      </c>
      <c r="C13" s="11" t="s">
        <v>26</v>
      </c>
      <c r="D13" s="17">
        <v>159.68</v>
      </c>
      <c r="E13" s="17"/>
      <c r="F13" s="17"/>
      <c r="G13" s="17" t="s">
        <v>32</v>
      </c>
      <c r="H13" s="17" t="s">
        <v>33</v>
      </c>
      <c r="I13" s="17">
        <v>2</v>
      </c>
      <c r="J13" s="17" t="s">
        <v>34</v>
      </c>
      <c r="K13" s="17"/>
      <c r="L13" s="18"/>
      <c r="M13" s="19"/>
    </row>
    <row r="14" spans="1:13" s="8" customFormat="1" ht="35.1" customHeight="1" x14ac:dyDescent="0.2">
      <c r="A14" s="9">
        <v>5</v>
      </c>
      <c r="B14" s="10" t="s">
        <v>35</v>
      </c>
      <c r="C14" s="11" t="s">
        <v>36</v>
      </c>
      <c r="D14" s="17"/>
      <c r="E14" s="17"/>
      <c r="F14" s="17"/>
      <c r="G14" s="17"/>
      <c r="H14" s="17"/>
      <c r="I14" s="17"/>
      <c r="J14" s="17"/>
      <c r="K14" s="17"/>
      <c r="L14" s="18"/>
      <c r="M14" s="19"/>
    </row>
    <row r="15" spans="1:13" s="8" customFormat="1" ht="100.5" customHeight="1" x14ac:dyDescent="0.2">
      <c r="A15" s="9">
        <v>6</v>
      </c>
      <c r="B15" s="10" t="s">
        <v>37</v>
      </c>
      <c r="C15" s="11" t="s">
        <v>36</v>
      </c>
      <c r="D15" s="17">
        <v>30.53</v>
      </c>
      <c r="E15" s="17" t="s">
        <v>38</v>
      </c>
      <c r="F15" s="17"/>
      <c r="G15" s="21" t="s">
        <v>39</v>
      </c>
      <c r="H15" s="17" t="s">
        <v>40</v>
      </c>
      <c r="I15" s="17"/>
      <c r="J15" s="17"/>
      <c r="K15" s="17"/>
      <c r="L15" s="18"/>
      <c r="M15" s="19"/>
    </row>
    <row r="16" spans="1:13" ht="129" customHeight="1" x14ac:dyDescent="0.2">
      <c r="A16" s="9">
        <v>7</v>
      </c>
      <c r="B16" s="10" t="s">
        <v>41</v>
      </c>
      <c r="C16" s="22" t="s">
        <v>26</v>
      </c>
      <c r="D16" s="23" t="s">
        <v>42</v>
      </c>
      <c r="E16" s="23" t="s">
        <v>43</v>
      </c>
      <c r="F16" s="23"/>
      <c r="G16" s="23"/>
      <c r="H16" s="23">
        <v>10</v>
      </c>
      <c r="I16" s="23"/>
      <c r="J16" s="23"/>
      <c r="K16" s="23"/>
      <c r="L16" s="24"/>
      <c r="M16" s="25"/>
    </row>
    <row r="17" spans="1:13" s="8" customFormat="1" ht="35.1" customHeight="1" x14ac:dyDescent="0.2">
      <c r="A17" s="9">
        <v>8</v>
      </c>
      <c r="B17" s="10" t="s">
        <v>44</v>
      </c>
      <c r="C17" s="11" t="s">
        <v>36</v>
      </c>
      <c r="D17" s="17"/>
      <c r="E17" s="17"/>
      <c r="F17" s="17"/>
      <c r="G17" s="17"/>
      <c r="H17" s="17"/>
      <c r="I17" s="17"/>
      <c r="J17" s="17"/>
      <c r="K17" s="17"/>
      <c r="L17" s="18"/>
      <c r="M17" s="19"/>
    </row>
    <row r="18" spans="1:13" s="8" customFormat="1" ht="174.75" customHeight="1" x14ac:dyDescent="0.2">
      <c r="A18" s="9">
        <v>9</v>
      </c>
      <c r="B18" s="10" t="s">
        <v>45</v>
      </c>
      <c r="C18" s="11" t="s">
        <v>36</v>
      </c>
      <c r="D18" s="17">
        <v>113.2</v>
      </c>
      <c r="E18" s="17"/>
      <c r="F18" s="17"/>
      <c r="G18" s="14" t="s">
        <v>46</v>
      </c>
      <c r="H18" s="14" t="s">
        <v>47</v>
      </c>
      <c r="I18" s="17"/>
      <c r="J18" s="17"/>
      <c r="K18" s="14" t="s">
        <v>48</v>
      </c>
      <c r="L18" s="18"/>
      <c r="M18" s="19"/>
    </row>
    <row r="19" spans="1:13" ht="82.5" customHeight="1" x14ac:dyDescent="0.2">
      <c r="A19" s="9">
        <v>10</v>
      </c>
      <c r="B19" s="10" t="s">
        <v>49</v>
      </c>
      <c r="C19" s="22" t="s">
        <v>36</v>
      </c>
      <c r="D19" s="23" t="s">
        <v>50</v>
      </c>
      <c r="E19" s="23"/>
      <c r="F19" s="23"/>
      <c r="G19" s="23"/>
      <c r="H19" s="23"/>
      <c r="I19" s="23" t="s">
        <v>51</v>
      </c>
      <c r="J19" s="23" t="s">
        <v>52</v>
      </c>
      <c r="K19" s="23"/>
      <c r="L19" s="23" t="s">
        <v>53</v>
      </c>
      <c r="M19" s="25"/>
    </row>
    <row r="20" spans="1:13" ht="35.1" customHeight="1" x14ac:dyDescent="0.2">
      <c r="A20" s="9">
        <v>11</v>
      </c>
      <c r="B20" s="10" t="s">
        <v>54</v>
      </c>
      <c r="C20" s="22" t="s">
        <v>26</v>
      </c>
      <c r="D20" s="23"/>
      <c r="E20" s="23"/>
      <c r="F20" s="23"/>
      <c r="G20" s="23"/>
      <c r="H20" s="23"/>
      <c r="I20" s="23"/>
      <c r="J20" s="23"/>
      <c r="K20" s="23"/>
      <c r="L20" s="24"/>
      <c r="M20" s="25"/>
    </row>
    <row r="21" spans="1:13" s="29" customFormat="1" ht="34.5" customHeight="1" x14ac:dyDescent="0.2">
      <c r="A21" s="28" t="s">
        <v>55</v>
      </c>
      <c r="B21" s="28"/>
    </row>
  </sheetData>
  <mergeCells count="21">
    <mergeCell ref="A3:A5"/>
    <mergeCell ref="B3:B5"/>
    <mergeCell ref="C3:C5"/>
    <mergeCell ref="L3:L4"/>
    <mergeCell ref="M3:M4"/>
    <mergeCell ref="A6:A10"/>
    <mergeCell ref="B6:B10"/>
    <mergeCell ref="C6:C10"/>
    <mergeCell ref="D6:D10"/>
    <mergeCell ref="E6:E10"/>
    <mergeCell ref="F6:F10"/>
    <mergeCell ref="G6:G10"/>
    <mergeCell ref="H6:H10"/>
    <mergeCell ref="D3:F3"/>
    <mergeCell ref="G3:J3"/>
    <mergeCell ref="K3:K4"/>
    <mergeCell ref="I6:I10"/>
    <mergeCell ref="J6:J10"/>
    <mergeCell ref="K6:K10"/>
    <mergeCell ref="L6:L10"/>
    <mergeCell ref="M6:M1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7"/>
  <sheetViews>
    <sheetView view="pageBreakPreview" zoomScale="130" zoomScaleNormal="89" zoomScaleSheetLayoutView="130" workbookViewId="0">
      <selection activeCell="M8" sqref="M8"/>
    </sheetView>
  </sheetViews>
  <sheetFormatPr defaultColWidth="8.7109375" defaultRowHeight="15" x14ac:dyDescent="0.2"/>
  <cols>
    <col min="1" max="1" width="5.7109375" style="30" customWidth="1"/>
    <col min="2" max="2" width="15.28515625" style="26" customWidth="1"/>
    <col min="3" max="3" width="54" style="26" customWidth="1"/>
    <col min="4" max="4" width="16" style="26" customWidth="1"/>
    <col min="5" max="5" width="34.42578125" style="26" customWidth="1"/>
    <col min="6" max="16384" width="8.7109375" style="26"/>
  </cols>
  <sheetData>
    <row r="1" spans="1:5" s="2" customFormat="1" ht="18.75" x14ac:dyDescent="0.2">
      <c r="A1" s="1" t="s">
        <v>0</v>
      </c>
    </row>
    <row r="2" spans="1:5" s="2" customFormat="1" ht="20.100000000000001" customHeight="1" x14ac:dyDescent="0.2">
      <c r="A2" s="1" t="s">
        <v>56</v>
      </c>
      <c r="B2" s="4"/>
    </row>
    <row r="3" spans="1:5" s="6" customFormat="1" ht="32.25" customHeight="1" x14ac:dyDescent="0.2">
      <c r="A3" s="214" t="s">
        <v>57</v>
      </c>
      <c r="B3" s="200" t="s">
        <v>58</v>
      </c>
      <c r="C3" s="200" t="s">
        <v>59</v>
      </c>
      <c r="D3" s="200"/>
      <c r="E3" s="201" t="s">
        <v>60</v>
      </c>
    </row>
    <row r="4" spans="1:5" s="6" customFormat="1" ht="46.5" customHeight="1" x14ac:dyDescent="0.2">
      <c r="A4" s="222"/>
      <c r="B4" s="223"/>
      <c r="C4" s="31" t="s">
        <v>61</v>
      </c>
      <c r="D4" s="31" t="s">
        <v>408</v>
      </c>
      <c r="E4" s="224"/>
    </row>
    <row r="5" spans="1:5" s="306" customFormat="1" ht="30" customHeight="1" x14ac:dyDescent="0.2">
      <c r="A5" s="202">
        <v>1</v>
      </c>
      <c r="B5" s="205" t="s">
        <v>21</v>
      </c>
      <c r="C5" s="320" t="s">
        <v>62</v>
      </c>
      <c r="D5" s="336">
        <f>SUM(D6:D11)</f>
        <v>276300</v>
      </c>
      <c r="E5" s="305">
        <f>SUM(E6:E11)</f>
        <v>203572</v>
      </c>
    </row>
    <row r="6" spans="1:5" s="306" customFormat="1" ht="30" customHeight="1" x14ac:dyDescent="0.2">
      <c r="A6" s="203"/>
      <c r="B6" s="206"/>
      <c r="C6" s="321" t="s">
        <v>63</v>
      </c>
      <c r="D6" s="337">
        <v>200000</v>
      </c>
      <c r="E6" s="307">
        <v>180000</v>
      </c>
    </row>
    <row r="7" spans="1:5" s="306" customFormat="1" ht="30" customHeight="1" x14ac:dyDescent="0.2">
      <c r="A7" s="203"/>
      <c r="B7" s="206"/>
      <c r="C7" s="321" t="s">
        <v>64</v>
      </c>
      <c r="D7" s="337">
        <v>13300</v>
      </c>
      <c r="E7" s="307">
        <v>11651</v>
      </c>
    </row>
    <row r="8" spans="1:5" s="306" customFormat="1" ht="30" customHeight="1" x14ac:dyDescent="0.2">
      <c r="A8" s="203"/>
      <c r="B8" s="206"/>
      <c r="C8" s="321" t="s">
        <v>65</v>
      </c>
      <c r="D8" s="337">
        <v>42000</v>
      </c>
      <c r="E8" s="307">
        <v>5921</v>
      </c>
    </row>
    <row r="9" spans="1:5" s="306" customFormat="1" ht="30" customHeight="1" x14ac:dyDescent="0.2">
      <c r="A9" s="203"/>
      <c r="B9" s="206"/>
      <c r="C9" s="321" t="s">
        <v>66</v>
      </c>
      <c r="D9" s="337">
        <v>3700</v>
      </c>
      <c r="E9" s="307">
        <v>3700</v>
      </c>
    </row>
    <row r="10" spans="1:5" s="306" customFormat="1" ht="30" customHeight="1" x14ac:dyDescent="0.2">
      <c r="A10" s="203"/>
      <c r="B10" s="206"/>
      <c r="C10" s="321" t="s">
        <v>67</v>
      </c>
      <c r="D10" s="337">
        <v>2300</v>
      </c>
      <c r="E10" s="307">
        <v>2300</v>
      </c>
    </row>
    <row r="11" spans="1:5" s="306" customFormat="1" ht="30" customHeight="1" x14ac:dyDescent="0.2">
      <c r="A11" s="204"/>
      <c r="B11" s="207"/>
      <c r="C11" s="322" t="s">
        <v>68</v>
      </c>
      <c r="D11" s="338">
        <v>15000</v>
      </c>
      <c r="E11" s="308"/>
    </row>
    <row r="12" spans="1:5" s="306" customFormat="1" ht="30" customHeight="1" x14ac:dyDescent="0.2">
      <c r="A12" s="202">
        <v>2</v>
      </c>
      <c r="B12" s="205" t="s">
        <v>25</v>
      </c>
      <c r="C12" s="320" t="s">
        <v>69</v>
      </c>
      <c r="D12" s="336">
        <f>SUM(D13:D15)</f>
        <v>38300</v>
      </c>
      <c r="E12" s="305">
        <f>SUM(E13:E15)</f>
        <v>30260</v>
      </c>
    </row>
    <row r="13" spans="1:5" s="306" customFormat="1" ht="30" customHeight="1" x14ac:dyDescent="0.2">
      <c r="A13" s="203"/>
      <c r="B13" s="206"/>
      <c r="C13" s="321" t="s">
        <v>70</v>
      </c>
      <c r="D13" s="337">
        <f>36000</f>
        <v>36000</v>
      </c>
      <c r="E13" s="307">
        <f>29000</f>
        <v>29000</v>
      </c>
    </row>
    <row r="14" spans="1:5" s="306" customFormat="1" ht="30" customHeight="1" x14ac:dyDescent="0.2">
      <c r="A14" s="203"/>
      <c r="B14" s="206"/>
      <c r="C14" s="321" t="s">
        <v>71</v>
      </c>
      <c r="D14" s="337">
        <f>1500</f>
        <v>1500</v>
      </c>
      <c r="E14" s="309">
        <f>1200</f>
        <v>1200</v>
      </c>
    </row>
    <row r="15" spans="1:5" s="306" customFormat="1" ht="30" customHeight="1" x14ac:dyDescent="0.2">
      <c r="A15" s="204"/>
      <c r="B15" s="207"/>
      <c r="C15" s="322" t="s">
        <v>72</v>
      </c>
      <c r="D15" s="339">
        <f>800</f>
        <v>800</v>
      </c>
      <c r="E15" s="310">
        <f>60</f>
        <v>60</v>
      </c>
    </row>
    <row r="16" spans="1:5" s="306" customFormat="1" ht="30" customHeight="1" x14ac:dyDescent="0.2">
      <c r="A16" s="32"/>
      <c r="B16" s="33"/>
      <c r="C16" s="323" t="s">
        <v>73</v>
      </c>
      <c r="D16" s="340">
        <v>1000</v>
      </c>
      <c r="E16" s="311"/>
    </row>
    <row r="17" spans="1:5" s="306" customFormat="1" ht="30" customHeight="1" x14ac:dyDescent="0.2">
      <c r="A17" s="34"/>
      <c r="B17" s="35"/>
      <c r="C17" s="321" t="s">
        <v>74</v>
      </c>
      <c r="D17" s="341">
        <v>600</v>
      </c>
      <c r="E17" s="309"/>
    </row>
    <row r="18" spans="1:5" s="306" customFormat="1" ht="30" customHeight="1" x14ac:dyDescent="0.2">
      <c r="A18" s="34"/>
      <c r="B18" s="35"/>
      <c r="C18" s="321" t="s">
        <v>75</v>
      </c>
      <c r="D18" s="341">
        <v>800</v>
      </c>
      <c r="E18" s="309"/>
    </row>
    <row r="19" spans="1:5" s="306" customFormat="1" ht="30" customHeight="1" x14ac:dyDescent="0.2">
      <c r="A19" s="36"/>
      <c r="B19" s="37"/>
      <c r="C19" s="322" t="s">
        <v>76</v>
      </c>
      <c r="D19" s="339">
        <v>1500</v>
      </c>
      <c r="E19" s="310"/>
    </row>
    <row r="20" spans="1:5" s="20" customFormat="1" ht="50.25" customHeight="1" x14ac:dyDescent="0.2">
      <c r="A20" s="216">
        <v>3</v>
      </c>
      <c r="B20" s="219" t="s">
        <v>30</v>
      </c>
      <c r="C20" s="320" t="s">
        <v>409</v>
      </c>
      <c r="D20" s="342">
        <f>SUM(D21:D39)</f>
        <v>47970</v>
      </c>
      <c r="E20" s="324">
        <f>SUM(E21:E39)</f>
        <v>9900</v>
      </c>
    </row>
    <row r="21" spans="1:5" s="20" customFormat="1" ht="15.95" customHeight="1" x14ac:dyDescent="0.2">
      <c r="A21" s="217"/>
      <c r="B21" s="220"/>
      <c r="C21" s="321" t="s">
        <v>77</v>
      </c>
      <c r="D21" s="337">
        <v>13000</v>
      </c>
      <c r="E21" s="307">
        <v>8000</v>
      </c>
    </row>
    <row r="22" spans="1:5" s="20" customFormat="1" ht="36" customHeight="1" x14ac:dyDescent="0.2">
      <c r="A22" s="217"/>
      <c r="B22" s="220"/>
      <c r="C22" s="321" t="s">
        <v>78</v>
      </c>
      <c r="D22" s="337">
        <v>700</v>
      </c>
      <c r="E22" s="307">
        <v>700</v>
      </c>
    </row>
    <row r="23" spans="1:5" s="20" customFormat="1" ht="33.75" customHeight="1" x14ac:dyDescent="0.2">
      <c r="A23" s="217"/>
      <c r="B23" s="220"/>
      <c r="C23" s="321" t="s">
        <v>79</v>
      </c>
      <c r="D23" s="337">
        <v>350</v>
      </c>
      <c r="E23" s="307">
        <v>200</v>
      </c>
    </row>
    <row r="24" spans="1:5" s="20" customFormat="1" ht="23.25" customHeight="1" x14ac:dyDescent="0.2">
      <c r="A24" s="217"/>
      <c r="B24" s="220"/>
      <c r="C24" s="321" t="s">
        <v>80</v>
      </c>
      <c r="D24" s="337">
        <v>5000</v>
      </c>
      <c r="E24" s="307">
        <v>800</v>
      </c>
    </row>
    <row r="25" spans="1:5" s="20" customFormat="1" ht="49.5" customHeight="1" x14ac:dyDescent="0.2">
      <c r="A25" s="217"/>
      <c r="B25" s="220"/>
      <c r="C25" s="321" t="s">
        <v>407</v>
      </c>
      <c r="D25" s="337">
        <v>400</v>
      </c>
      <c r="E25" s="307"/>
    </row>
    <row r="26" spans="1:5" s="20" customFormat="1" ht="31.5" customHeight="1" x14ac:dyDescent="0.2">
      <c r="A26" s="217"/>
      <c r="B26" s="220"/>
      <c r="C26" s="321" t="s">
        <v>81</v>
      </c>
      <c r="D26" s="337">
        <v>1200</v>
      </c>
      <c r="E26" s="307"/>
    </row>
    <row r="27" spans="1:5" s="20" customFormat="1" ht="15.95" customHeight="1" x14ac:dyDescent="0.2">
      <c r="A27" s="217"/>
      <c r="B27" s="220"/>
      <c r="C27" s="321" t="s">
        <v>82</v>
      </c>
      <c r="D27" s="337">
        <v>350</v>
      </c>
      <c r="E27" s="307">
        <v>200</v>
      </c>
    </row>
    <row r="28" spans="1:5" s="20" customFormat="1" ht="33" customHeight="1" x14ac:dyDescent="0.2">
      <c r="A28" s="217"/>
      <c r="B28" s="220"/>
      <c r="C28" s="321" t="s">
        <v>83</v>
      </c>
      <c r="D28" s="337">
        <v>800</v>
      </c>
      <c r="E28" s="307"/>
    </row>
    <row r="29" spans="1:5" s="312" customFormat="1" ht="30" customHeight="1" x14ac:dyDescent="0.2">
      <c r="A29" s="217"/>
      <c r="B29" s="220"/>
      <c r="C29" s="321" t="s">
        <v>84</v>
      </c>
      <c r="D29" s="337">
        <v>3500</v>
      </c>
      <c r="E29" s="307"/>
    </row>
    <row r="30" spans="1:5" s="312" customFormat="1" ht="30" customHeight="1" x14ac:dyDescent="0.2">
      <c r="A30" s="217"/>
      <c r="B30" s="220"/>
      <c r="C30" s="321" t="s">
        <v>85</v>
      </c>
      <c r="D30" s="337">
        <v>1500</v>
      </c>
      <c r="E30" s="307"/>
    </row>
    <row r="31" spans="1:5" s="312" customFormat="1" ht="30" customHeight="1" x14ac:dyDescent="0.2">
      <c r="A31" s="217"/>
      <c r="B31" s="220"/>
      <c r="C31" s="321" t="s">
        <v>86</v>
      </c>
      <c r="D31" s="337">
        <v>500</v>
      </c>
      <c r="E31" s="307"/>
    </row>
    <row r="32" spans="1:5" s="312" customFormat="1" ht="30" customHeight="1" x14ac:dyDescent="0.2">
      <c r="A32" s="217"/>
      <c r="B32" s="220"/>
      <c r="C32" s="321" t="s">
        <v>87</v>
      </c>
      <c r="D32" s="337">
        <v>4500</v>
      </c>
      <c r="E32" s="307"/>
    </row>
    <row r="33" spans="1:5" s="312" customFormat="1" ht="30" customHeight="1" x14ac:dyDescent="0.2">
      <c r="A33" s="217"/>
      <c r="B33" s="220"/>
      <c r="C33" s="321" t="s">
        <v>88</v>
      </c>
      <c r="D33" s="337">
        <v>2000</v>
      </c>
      <c r="E33" s="307"/>
    </row>
    <row r="34" spans="1:5" s="312" customFormat="1" ht="30" customHeight="1" x14ac:dyDescent="0.2">
      <c r="A34" s="217"/>
      <c r="B34" s="220"/>
      <c r="C34" s="321" t="s">
        <v>89</v>
      </c>
      <c r="D34" s="337">
        <v>2500</v>
      </c>
      <c r="E34" s="307"/>
    </row>
    <row r="35" spans="1:5" s="312" customFormat="1" ht="30" customHeight="1" x14ac:dyDescent="0.2">
      <c r="A35" s="217"/>
      <c r="B35" s="220"/>
      <c r="C35" s="321" t="s">
        <v>90</v>
      </c>
      <c r="D35" s="337">
        <v>1720</v>
      </c>
      <c r="E35" s="307"/>
    </row>
    <row r="36" spans="1:5" s="312" customFormat="1" ht="30" customHeight="1" x14ac:dyDescent="0.2">
      <c r="A36" s="217"/>
      <c r="B36" s="220"/>
      <c r="C36" s="321" t="s">
        <v>91</v>
      </c>
      <c r="D36" s="337">
        <v>2000</v>
      </c>
      <c r="E36" s="307"/>
    </row>
    <row r="37" spans="1:5" s="312" customFormat="1" ht="30" customHeight="1" x14ac:dyDescent="0.2">
      <c r="A37" s="217"/>
      <c r="B37" s="220"/>
      <c r="C37" s="321" t="s">
        <v>92</v>
      </c>
      <c r="D37" s="337">
        <v>1000</v>
      </c>
      <c r="E37" s="307"/>
    </row>
    <row r="38" spans="1:5" s="312" customFormat="1" ht="30" customHeight="1" x14ac:dyDescent="0.2">
      <c r="A38" s="217"/>
      <c r="B38" s="220"/>
      <c r="C38" s="321" t="s">
        <v>93</v>
      </c>
      <c r="D38" s="337">
        <v>2000</v>
      </c>
      <c r="E38" s="307"/>
    </row>
    <row r="39" spans="1:5" s="312" customFormat="1" ht="30" customHeight="1" x14ac:dyDescent="0.2">
      <c r="A39" s="218"/>
      <c r="B39" s="221"/>
      <c r="C39" s="322" t="s">
        <v>94</v>
      </c>
      <c r="D39" s="338">
        <v>4950</v>
      </c>
      <c r="E39" s="308"/>
    </row>
    <row r="40" spans="1:5" s="8" customFormat="1" ht="63" customHeight="1" x14ac:dyDescent="0.2">
      <c r="A40" s="216">
        <v>4</v>
      </c>
      <c r="B40" s="219" t="s">
        <v>31</v>
      </c>
      <c r="C40" s="143" t="s">
        <v>415</v>
      </c>
      <c r="D40" s="343">
        <f>SUM(D41:D41)</f>
        <v>4500</v>
      </c>
      <c r="E40" s="334">
        <f>SUM(E41:E41)</f>
        <v>3000</v>
      </c>
    </row>
    <row r="41" spans="1:5" s="8" customFormat="1" ht="26.25" customHeight="1" x14ac:dyDescent="0.2">
      <c r="A41" s="218"/>
      <c r="B41" s="221"/>
      <c r="C41" s="147" t="s">
        <v>95</v>
      </c>
      <c r="D41" s="338">
        <v>4500</v>
      </c>
      <c r="E41" s="308">
        <v>3000</v>
      </c>
    </row>
    <row r="42" spans="1:5" s="8" customFormat="1" ht="30.75" customHeight="1" x14ac:dyDescent="0.2">
      <c r="A42" s="9">
        <v>5</v>
      </c>
      <c r="B42" s="10" t="s">
        <v>35</v>
      </c>
      <c r="C42" s="38"/>
      <c r="D42" s="344"/>
      <c r="E42" s="39"/>
    </row>
    <row r="43" spans="1:5" s="8" customFormat="1" ht="193.5" customHeight="1" x14ac:dyDescent="0.2">
      <c r="A43" s="9">
        <v>6</v>
      </c>
      <c r="B43" s="10" t="s">
        <v>37</v>
      </c>
      <c r="C43" s="331" t="s">
        <v>411</v>
      </c>
      <c r="D43" s="345"/>
      <c r="E43" s="332" t="s">
        <v>416</v>
      </c>
    </row>
    <row r="44" spans="1:5" ht="54" customHeight="1" x14ac:dyDescent="0.2">
      <c r="A44" s="9">
        <v>7</v>
      </c>
      <c r="B44" s="10" t="s">
        <v>41</v>
      </c>
      <c r="C44" s="330" t="s">
        <v>412</v>
      </c>
      <c r="D44" s="346"/>
      <c r="E44" s="333" t="s">
        <v>413</v>
      </c>
    </row>
    <row r="45" spans="1:5" s="8" customFormat="1" ht="27" customHeight="1" x14ac:dyDescent="0.2">
      <c r="A45" s="9">
        <v>8</v>
      </c>
      <c r="B45" s="10" t="s">
        <v>44</v>
      </c>
      <c r="C45" s="331" t="s">
        <v>414</v>
      </c>
      <c r="D45" s="345"/>
      <c r="E45" s="40"/>
    </row>
    <row r="46" spans="1:5" s="306" customFormat="1" ht="30" customHeight="1" x14ac:dyDescent="0.2">
      <c r="A46" s="216">
        <v>9</v>
      </c>
      <c r="B46" s="219" t="s">
        <v>45</v>
      </c>
      <c r="C46" s="320" t="s">
        <v>96</v>
      </c>
      <c r="D46" s="336">
        <f>SUM(D47:D59)</f>
        <v>20475</v>
      </c>
      <c r="E46" s="305">
        <f>SUM(E47:E59)</f>
        <v>3450</v>
      </c>
    </row>
    <row r="47" spans="1:5" s="312" customFormat="1" ht="30" customHeight="1" x14ac:dyDescent="0.2">
      <c r="A47" s="217"/>
      <c r="B47" s="220"/>
      <c r="C47" s="325" t="s">
        <v>97</v>
      </c>
      <c r="D47" s="347">
        <v>1500</v>
      </c>
      <c r="E47" s="313">
        <v>0</v>
      </c>
    </row>
    <row r="48" spans="1:5" s="312" customFormat="1" ht="30" customHeight="1" x14ac:dyDescent="0.2">
      <c r="A48" s="217"/>
      <c r="B48" s="220"/>
      <c r="C48" s="325" t="s">
        <v>98</v>
      </c>
      <c r="D48" s="347">
        <v>2500</v>
      </c>
      <c r="E48" s="313">
        <v>1900</v>
      </c>
    </row>
    <row r="49" spans="1:5" s="312" customFormat="1" ht="30" customHeight="1" x14ac:dyDescent="0.2">
      <c r="A49" s="217"/>
      <c r="B49" s="220"/>
      <c r="C49" s="325" t="s">
        <v>99</v>
      </c>
      <c r="D49" s="347">
        <v>5000</v>
      </c>
      <c r="E49" s="313">
        <v>0</v>
      </c>
    </row>
    <row r="50" spans="1:5" s="312" customFormat="1" ht="30" customHeight="1" x14ac:dyDescent="0.2">
      <c r="A50" s="217"/>
      <c r="B50" s="220"/>
      <c r="C50" s="325" t="s">
        <v>100</v>
      </c>
      <c r="D50" s="347">
        <v>1200</v>
      </c>
      <c r="E50" s="313">
        <v>1100</v>
      </c>
    </row>
    <row r="51" spans="1:5" s="312" customFormat="1" ht="30" customHeight="1" x14ac:dyDescent="0.2">
      <c r="A51" s="217"/>
      <c r="B51" s="220"/>
      <c r="C51" s="325" t="s">
        <v>101</v>
      </c>
      <c r="D51" s="347">
        <v>450</v>
      </c>
      <c r="E51" s="313">
        <v>450</v>
      </c>
    </row>
    <row r="52" spans="1:5" s="312" customFormat="1" ht="30" customHeight="1" x14ac:dyDescent="0.2">
      <c r="A52" s="217"/>
      <c r="B52" s="220"/>
      <c r="C52" s="325" t="s">
        <v>102</v>
      </c>
      <c r="D52" s="347">
        <v>2230</v>
      </c>
      <c r="E52" s="314">
        <v>0</v>
      </c>
    </row>
    <row r="53" spans="1:5" s="312" customFormat="1" ht="30" customHeight="1" x14ac:dyDescent="0.2">
      <c r="A53" s="217"/>
      <c r="B53" s="220"/>
      <c r="C53" s="325" t="s">
        <v>103</v>
      </c>
      <c r="D53" s="347">
        <v>250</v>
      </c>
      <c r="E53" s="314"/>
    </row>
    <row r="54" spans="1:5" s="312" customFormat="1" ht="30" customHeight="1" x14ac:dyDescent="0.2">
      <c r="A54" s="217"/>
      <c r="B54" s="220"/>
      <c r="C54" s="325" t="s">
        <v>104</v>
      </c>
      <c r="D54" s="347">
        <v>350</v>
      </c>
      <c r="E54" s="314"/>
    </row>
    <row r="55" spans="1:5" s="312" customFormat="1" ht="30" customHeight="1" x14ac:dyDescent="0.2">
      <c r="A55" s="217"/>
      <c r="B55" s="220"/>
      <c r="C55" s="325" t="s">
        <v>105</v>
      </c>
      <c r="D55" s="347">
        <v>215</v>
      </c>
      <c r="E55" s="314"/>
    </row>
    <row r="56" spans="1:5" s="312" customFormat="1" ht="30" customHeight="1" x14ac:dyDescent="0.2">
      <c r="A56" s="217"/>
      <c r="B56" s="220"/>
      <c r="C56" s="325" t="s">
        <v>106</v>
      </c>
      <c r="D56" s="347">
        <v>4200</v>
      </c>
      <c r="E56" s="313">
        <v>0</v>
      </c>
    </row>
    <row r="57" spans="1:5" s="312" customFormat="1" ht="30" customHeight="1" x14ac:dyDescent="0.2">
      <c r="A57" s="217"/>
      <c r="B57" s="220"/>
      <c r="C57" s="325" t="s">
        <v>107</v>
      </c>
      <c r="D57" s="347">
        <v>2000</v>
      </c>
      <c r="E57" s="313">
        <v>0</v>
      </c>
    </row>
    <row r="58" spans="1:5" s="312" customFormat="1" ht="30" customHeight="1" x14ac:dyDescent="0.2">
      <c r="A58" s="217"/>
      <c r="B58" s="220"/>
      <c r="C58" s="325" t="s">
        <v>108</v>
      </c>
      <c r="D58" s="347">
        <v>180</v>
      </c>
      <c r="E58" s="313">
        <v>0</v>
      </c>
    </row>
    <row r="59" spans="1:5" s="312" customFormat="1" ht="30" customHeight="1" x14ac:dyDescent="0.2">
      <c r="A59" s="218"/>
      <c r="B59" s="221"/>
      <c r="C59" s="326" t="s">
        <v>109</v>
      </c>
      <c r="D59" s="348">
        <v>400</v>
      </c>
      <c r="E59" s="315">
        <v>0</v>
      </c>
    </row>
    <row r="60" spans="1:5" s="317" customFormat="1" ht="27.75" customHeight="1" x14ac:dyDescent="0.2">
      <c r="A60" s="216">
        <v>10</v>
      </c>
      <c r="B60" s="219" t="s">
        <v>49</v>
      </c>
      <c r="C60" s="327" t="s">
        <v>110</v>
      </c>
      <c r="D60" s="349">
        <v>5000</v>
      </c>
      <c r="E60" s="316"/>
    </row>
    <row r="61" spans="1:5" s="317" customFormat="1" ht="27.75" customHeight="1" x14ac:dyDescent="0.2">
      <c r="A61" s="217"/>
      <c r="B61" s="220"/>
      <c r="C61" s="328" t="s">
        <v>111</v>
      </c>
      <c r="D61" s="350">
        <v>6000</v>
      </c>
      <c r="E61" s="318"/>
    </row>
    <row r="62" spans="1:5" s="317" customFormat="1" ht="27.75" customHeight="1" x14ac:dyDescent="0.2">
      <c r="A62" s="217"/>
      <c r="B62" s="220"/>
      <c r="C62" s="328" t="s">
        <v>112</v>
      </c>
      <c r="D62" s="350">
        <v>19300</v>
      </c>
      <c r="E62" s="318"/>
    </row>
    <row r="63" spans="1:5" s="317" customFormat="1" ht="27.75" customHeight="1" x14ac:dyDescent="0.2">
      <c r="A63" s="217"/>
      <c r="B63" s="220"/>
      <c r="C63" s="328" t="s">
        <v>113</v>
      </c>
      <c r="D63" s="350">
        <v>15000</v>
      </c>
      <c r="E63" s="318"/>
    </row>
    <row r="64" spans="1:5" s="317" customFormat="1" ht="35.25" customHeight="1" x14ac:dyDescent="0.2">
      <c r="A64" s="218"/>
      <c r="B64" s="221"/>
      <c r="C64" s="329" t="s">
        <v>114</v>
      </c>
      <c r="D64" s="335" t="s">
        <v>410</v>
      </c>
      <c r="E64" s="319"/>
    </row>
    <row r="65" spans="1:5" ht="30" customHeight="1" x14ac:dyDescent="0.2">
      <c r="A65" s="9">
        <v>11</v>
      </c>
      <c r="B65" s="10" t="s">
        <v>54</v>
      </c>
      <c r="C65" s="41"/>
      <c r="D65" s="41"/>
      <c r="E65" s="42"/>
    </row>
    <row r="66" spans="1:5" s="29" customFormat="1" ht="20.100000000000001" customHeight="1" x14ac:dyDescent="0.2">
      <c r="A66" s="43" t="s">
        <v>55</v>
      </c>
      <c r="B66" s="43"/>
    </row>
    <row r="67" spans="1:5" ht="20.100000000000001" customHeight="1" x14ac:dyDescent="0.2">
      <c r="A67" s="44"/>
      <c r="B67" s="45"/>
    </row>
  </sheetData>
  <mergeCells count="16">
    <mergeCell ref="A3:A4"/>
    <mergeCell ref="B3:B4"/>
    <mergeCell ref="C3:D3"/>
    <mergeCell ref="E3:E4"/>
    <mergeCell ref="A5:A11"/>
    <mergeCell ref="B5:B11"/>
    <mergeCell ref="A46:A59"/>
    <mergeCell ref="B46:B59"/>
    <mergeCell ref="A60:A64"/>
    <mergeCell ref="B60:B64"/>
    <mergeCell ref="A12:A15"/>
    <mergeCell ref="B12:B15"/>
    <mergeCell ref="A20:A39"/>
    <mergeCell ref="B20:B39"/>
    <mergeCell ref="A40:A41"/>
    <mergeCell ref="B40:B4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view="pageBreakPreview" zoomScaleNormal="100" zoomScaleSheetLayoutView="100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16.140625" style="46" customWidth="1"/>
    <col min="5" max="5" width="19.7109375" style="46" customWidth="1"/>
    <col min="6" max="16384" width="8.85546875" style="46"/>
  </cols>
  <sheetData>
    <row r="1" spans="1:6" ht="24.75" customHeight="1" x14ac:dyDescent="0.2">
      <c r="A1" s="233" t="s">
        <v>115</v>
      </c>
      <c r="B1" s="233"/>
      <c r="C1" s="233"/>
      <c r="D1" s="233"/>
      <c r="E1" s="233"/>
    </row>
    <row r="2" spans="1:6" ht="24.75" customHeight="1" x14ac:dyDescent="0.2">
      <c r="A2" s="47" t="s">
        <v>116</v>
      </c>
    </row>
    <row r="3" spans="1:6" ht="35.1" customHeight="1" thickBot="1" x14ac:dyDescent="0.25">
      <c r="A3" s="234" t="s">
        <v>417</v>
      </c>
      <c r="B3" s="234"/>
      <c r="C3" s="234"/>
      <c r="D3" s="234"/>
      <c r="E3" s="234"/>
    </row>
    <row r="4" spans="1:6" ht="54.75" customHeight="1" thickBot="1" x14ac:dyDescent="0.25">
      <c r="A4" s="366" t="s">
        <v>398</v>
      </c>
      <c r="B4" s="367"/>
      <c r="C4" s="367"/>
      <c r="D4" s="367"/>
      <c r="E4" s="368"/>
    </row>
    <row r="5" spans="1:6" ht="20.25" customHeight="1" x14ac:dyDescent="0.2">
      <c r="A5" s="59"/>
      <c r="B5" s="59"/>
      <c r="C5" s="59"/>
      <c r="D5" s="59"/>
      <c r="E5" s="59"/>
    </row>
    <row r="6" spans="1:6" ht="35.1" customHeight="1" x14ac:dyDescent="0.2">
      <c r="A6" s="234" t="s">
        <v>418</v>
      </c>
      <c r="B6" s="234"/>
      <c r="C6" s="234"/>
      <c r="D6" s="234"/>
      <c r="E6" s="234"/>
    </row>
    <row r="7" spans="1:6" ht="38.25" customHeight="1" x14ac:dyDescent="0.2">
      <c r="A7" s="353" t="s">
        <v>118</v>
      </c>
      <c r="B7" s="354" t="s">
        <v>119</v>
      </c>
      <c r="C7" s="354"/>
      <c r="D7" s="354" t="s">
        <v>120</v>
      </c>
      <c r="E7" s="355"/>
      <c r="F7" s="48"/>
    </row>
    <row r="8" spans="1:6" s="68" customFormat="1" ht="30" customHeight="1" x14ac:dyDescent="0.2">
      <c r="A8" s="356" t="s">
        <v>26</v>
      </c>
      <c r="B8" s="357" t="s">
        <v>121</v>
      </c>
      <c r="C8" s="358"/>
      <c r="D8" s="358"/>
      <c r="E8" s="359"/>
      <c r="F8" s="67"/>
    </row>
    <row r="9" spans="1:6" s="68" customFormat="1" ht="39.950000000000003" customHeight="1" x14ac:dyDescent="0.2">
      <c r="A9" s="62">
        <v>1</v>
      </c>
      <c r="B9" s="228" t="s">
        <v>122</v>
      </c>
      <c r="C9" s="228"/>
      <c r="D9" s="226">
        <v>3</v>
      </c>
      <c r="E9" s="227"/>
      <c r="F9" s="67"/>
    </row>
    <row r="10" spans="1:6" s="68" customFormat="1" ht="30" customHeight="1" x14ac:dyDescent="0.2">
      <c r="A10" s="62">
        <v>2</v>
      </c>
      <c r="B10" s="228" t="s">
        <v>123</v>
      </c>
      <c r="C10" s="228"/>
      <c r="D10" s="226">
        <v>3</v>
      </c>
      <c r="E10" s="227"/>
      <c r="F10" s="67"/>
    </row>
    <row r="11" spans="1:6" s="68" customFormat="1" ht="30" customHeight="1" x14ac:dyDescent="0.2">
      <c r="A11" s="62">
        <v>3</v>
      </c>
      <c r="B11" s="228" t="s">
        <v>124</v>
      </c>
      <c r="C11" s="228"/>
      <c r="D11" s="226">
        <v>2</v>
      </c>
      <c r="E11" s="227"/>
      <c r="F11" s="67"/>
    </row>
    <row r="12" spans="1:6" s="68" customFormat="1" ht="30" customHeight="1" x14ac:dyDescent="0.2">
      <c r="A12" s="62">
        <v>4</v>
      </c>
      <c r="B12" s="228" t="s">
        <v>125</v>
      </c>
      <c r="C12" s="228"/>
      <c r="D12" s="226">
        <v>1</v>
      </c>
      <c r="E12" s="227"/>
      <c r="F12" s="67"/>
    </row>
    <row r="13" spans="1:6" s="68" customFormat="1" ht="30" customHeight="1" x14ac:dyDescent="0.2">
      <c r="A13" s="62">
        <v>5</v>
      </c>
      <c r="B13" s="228" t="s">
        <v>126</v>
      </c>
      <c r="C13" s="228"/>
      <c r="D13" s="226">
        <v>3</v>
      </c>
      <c r="E13" s="227"/>
      <c r="F13" s="67"/>
    </row>
    <row r="14" spans="1:6" s="68" customFormat="1" ht="30" customHeight="1" x14ac:dyDescent="0.2">
      <c r="A14" s="360" t="s">
        <v>36</v>
      </c>
      <c r="B14" s="361" t="s">
        <v>127</v>
      </c>
      <c r="C14" s="362"/>
      <c r="D14" s="362"/>
      <c r="E14" s="363"/>
      <c r="F14" s="67"/>
    </row>
    <row r="15" spans="1:6" s="68" customFormat="1" ht="39.950000000000003" customHeight="1" x14ac:dyDescent="0.2">
      <c r="A15" s="62">
        <v>1</v>
      </c>
      <c r="B15" s="228" t="s">
        <v>122</v>
      </c>
      <c r="C15" s="228"/>
      <c r="D15" s="226">
        <v>10</v>
      </c>
      <c r="E15" s="227"/>
      <c r="F15" s="67"/>
    </row>
    <row r="16" spans="1:6" s="68" customFormat="1" ht="30" customHeight="1" x14ac:dyDescent="0.2">
      <c r="A16" s="62">
        <v>2</v>
      </c>
      <c r="B16" s="228" t="s">
        <v>123</v>
      </c>
      <c r="C16" s="228"/>
      <c r="D16" s="226">
        <v>9</v>
      </c>
      <c r="E16" s="227"/>
      <c r="F16" s="67"/>
    </row>
    <row r="17" spans="1:6" s="68" customFormat="1" ht="30" customHeight="1" x14ac:dyDescent="0.2">
      <c r="A17" s="62">
        <v>3</v>
      </c>
      <c r="B17" s="228" t="s">
        <v>124</v>
      </c>
      <c r="C17" s="228"/>
      <c r="D17" s="226">
        <v>8</v>
      </c>
      <c r="E17" s="227"/>
      <c r="F17" s="67"/>
    </row>
    <row r="18" spans="1:6" s="68" customFormat="1" ht="30" customHeight="1" x14ac:dyDescent="0.2">
      <c r="A18" s="62">
        <v>4</v>
      </c>
      <c r="B18" s="228" t="s">
        <v>125</v>
      </c>
      <c r="C18" s="228"/>
      <c r="D18" s="226">
        <v>10</v>
      </c>
      <c r="E18" s="227"/>
      <c r="F18" s="67"/>
    </row>
    <row r="19" spans="1:6" s="68" customFormat="1" ht="30" customHeight="1" x14ac:dyDescent="0.2">
      <c r="A19" s="63">
        <v>5</v>
      </c>
      <c r="B19" s="229" t="s">
        <v>126</v>
      </c>
      <c r="C19" s="229"/>
      <c r="D19" s="230">
        <v>6</v>
      </c>
      <c r="E19" s="231"/>
      <c r="F19" s="67"/>
    </row>
    <row r="20" spans="1:6" ht="30" customHeight="1" x14ac:dyDescent="0.2">
      <c r="A20" s="232" t="s">
        <v>117</v>
      </c>
      <c r="B20" s="232"/>
      <c r="C20" s="232"/>
      <c r="D20" s="232"/>
      <c r="E20" s="69"/>
      <c r="F20" s="48"/>
    </row>
    <row r="21" spans="1:6" ht="20.100000000000001" customHeight="1" x14ac:dyDescent="0.2">
      <c r="A21" s="49"/>
      <c r="B21" s="60"/>
      <c r="C21" s="60"/>
      <c r="D21" s="61"/>
      <c r="E21" s="58"/>
      <c r="F21" s="48"/>
    </row>
    <row r="22" spans="1:6" ht="36.75" customHeight="1" x14ac:dyDescent="0.2">
      <c r="A22" s="353" t="s">
        <v>118</v>
      </c>
      <c r="B22" s="364" t="s">
        <v>129</v>
      </c>
      <c r="C22" s="364" t="s">
        <v>130</v>
      </c>
      <c r="D22" s="364" t="s">
        <v>427</v>
      </c>
      <c r="E22" s="365" t="s">
        <v>131</v>
      </c>
    </row>
    <row r="23" spans="1:6" ht="36" customHeight="1" x14ac:dyDescent="0.2">
      <c r="A23" s="78">
        <v>1</v>
      </c>
      <c r="B23" s="79" t="s">
        <v>132</v>
      </c>
      <c r="C23" s="80" t="s">
        <v>133</v>
      </c>
      <c r="D23" s="80">
        <v>80</v>
      </c>
      <c r="E23" s="352" t="s">
        <v>134</v>
      </c>
    </row>
    <row r="24" spans="1:6" ht="27.75" customHeight="1" x14ac:dyDescent="0.2">
      <c r="A24" s="62">
        <v>2</v>
      </c>
      <c r="B24" s="82" t="s">
        <v>135</v>
      </c>
      <c r="C24" s="83" t="s">
        <v>136</v>
      </c>
      <c r="D24" s="83">
        <v>80</v>
      </c>
      <c r="E24" s="100" t="s">
        <v>134</v>
      </c>
    </row>
    <row r="25" spans="1:6" ht="30.75" customHeight="1" x14ac:dyDescent="0.2">
      <c r="A25" s="62">
        <v>3</v>
      </c>
      <c r="B25" s="82" t="s">
        <v>137</v>
      </c>
      <c r="C25" s="83" t="s">
        <v>138</v>
      </c>
      <c r="D25" s="83">
        <v>60</v>
      </c>
      <c r="E25" s="100" t="s">
        <v>139</v>
      </c>
    </row>
    <row r="26" spans="1:6" ht="33" customHeight="1" x14ac:dyDescent="0.2">
      <c r="A26" s="62">
        <v>4</v>
      </c>
      <c r="B26" s="82" t="s">
        <v>140</v>
      </c>
      <c r="C26" s="83" t="s">
        <v>138</v>
      </c>
      <c r="D26" s="83">
        <v>29</v>
      </c>
      <c r="E26" s="100" t="s">
        <v>139</v>
      </c>
    </row>
    <row r="27" spans="1:6" ht="55.5" customHeight="1" x14ac:dyDescent="0.2">
      <c r="A27" s="63">
        <v>5</v>
      </c>
      <c r="B27" s="119" t="s">
        <v>141</v>
      </c>
      <c r="C27" s="86" t="s">
        <v>142</v>
      </c>
      <c r="D27" s="86"/>
      <c r="E27" s="87"/>
    </row>
    <row r="28" spans="1:6" ht="29.25" customHeight="1" x14ac:dyDescent="0.2">
      <c r="A28" s="232" t="s">
        <v>128</v>
      </c>
      <c r="B28" s="232"/>
      <c r="C28" s="232"/>
      <c r="D28" s="232"/>
      <c r="E28" s="232"/>
    </row>
  </sheetData>
  <mergeCells count="30">
    <mergeCell ref="A1:E1"/>
    <mergeCell ref="A3:E3"/>
    <mergeCell ref="A6:E6"/>
    <mergeCell ref="B7:C7"/>
    <mergeCell ref="B8:E8"/>
    <mergeCell ref="B17:C17"/>
    <mergeCell ref="B18:C18"/>
    <mergeCell ref="B19:C19"/>
    <mergeCell ref="A28:E28"/>
    <mergeCell ref="D17:E17"/>
    <mergeCell ref="D18:E18"/>
    <mergeCell ref="D19:E19"/>
    <mergeCell ref="A20:D20"/>
    <mergeCell ref="D12:E12"/>
    <mergeCell ref="D13:E13"/>
    <mergeCell ref="D15:E15"/>
    <mergeCell ref="D16:E16"/>
    <mergeCell ref="B16:C16"/>
    <mergeCell ref="B12:C12"/>
    <mergeCell ref="B13:C13"/>
    <mergeCell ref="B15:C15"/>
    <mergeCell ref="B14:E14"/>
    <mergeCell ref="A4:E4"/>
    <mergeCell ref="D7:E7"/>
    <mergeCell ref="D9:E9"/>
    <mergeCell ref="D10:E10"/>
    <mergeCell ref="D11:E11"/>
    <mergeCell ref="B9:C9"/>
    <mergeCell ref="B10:C10"/>
    <mergeCell ref="B11:C1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view="pageBreakPreview" topLeftCell="A19" zoomScale="145" zoomScaleNormal="100" zoomScaleSheetLayoutView="145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21.42578125" style="46" customWidth="1"/>
    <col min="5" max="16384" width="8.85546875" style="46"/>
  </cols>
  <sheetData>
    <row r="1" spans="1:4" ht="30" customHeight="1" x14ac:dyDescent="0.2">
      <c r="A1" s="351">
        <v>3.3</v>
      </c>
      <c r="B1" s="74" t="s">
        <v>420</v>
      </c>
      <c r="C1" s="73"/>
      <c r="D1" s="73"/>
    </row>
    <row r="2" spans="1:4" ht="24.95" customHeight="1" x14ac:dyDescent="0.2">
      <c r="A2" s="65" t="s">
        <v>118</v>
      </c>
      <c r="B2" s="88" t="s">
        <v>144</v>
      </c>
      <c r="C2" s="88" t="s">
        <v>145</v>
      </c>
      <c r="D2" s="89" t="s">
        <v>400</v>
      </c>
    </row>
    <row r="3" spans="1:4" s="68" customFormat="1" ht="24.95" customHeight="1" x14ac:dyDescent="0.2">
      <c r="A3" s="78">
        <v>1</v>
      </c>
      <c r="B3" s="79" t="s">
        <v>146</v>
      </c>
      <c r="C3" s="80" t="s">
        <v>147</v>
      </c>
      <c r="D3" s="81">
        <v>73800</v>
      </c>
    </row>
    <row r="4" spans="1:4" s="68" customFormat="1" ht="24.95" customHeight="1" x14ac:dyDescent="0.2">
      <c r="A4" s="62">
        <v>2</v>
      </c>
      <c r="B4" s="82" t="s">
        <v>146</v>
      </c>
      <c r="C4" s="83" t="s">
        <v>148</v>
      </c>
      <c r="D4" s="84">
        <v>43500</v>
      </c>
    </row>
    <row r="5" spans="1:4" s="68" customFormat="1" ht="24.95" customHeight="1" x14ac:dyDescent="0.2">
      <c r="A5" s="62">
        <v>3</v>
      </c>
      <c r="B5" s="82" t="s">
        <v>146</v>
      </c>
      <c r="C5" s="83" t="s">
        <v>149</v>
      </c>
      <c r="D5" s="84">
        <v>36500</v>
      </c>
    </row>
    <row r="6" spans="1:4" s="68" customFormat="1" ht="24.95" customHeight="1" x14ac:dyDescent="0.2">
      <c r="A6" s="62">
        <v>4</v>
      </c>
      <c r="B6" s="82" t="s">
        <v>146</v>
      </c>
      <c r="C6" s="83" t="s">
        <v>150</v>
      </c>
      <c r="D6" s="84">
        <v>25600</v>
      </c>
    </row>
    <row r="7" spans="1:4" s="68" customFormat="1" ht="24.95" customHeight="1" x14ac:dyDescent="0.2">
      <c r="A7" s="62">
        <v>5</v>
      </c>
      <c r="B7" s="82" t="s">
        <v>146</v>
      </c>
      <c r="C7" s="83" t="s">
        <v>151</v>
      </c>
      <c r="D7" s="84">
        <v>23500</v>
      </c>
    </row>
    <row r="8" spans="1:4" s="68" customFormat="1" ht="24.95" customHeight="1" x14ac:dyDescent="0.2">
      <c r="A8" s="62">
        <v>6</v>
      </c>
      <c r="B8" s="82" t="s">
        <v>146</v>
      </c>
      <c r="C8" s="83" t="s">
        <v>152</v>
      </c>
      <c r="D8" s="84">
        <v>26700</v>
      </c>
    </row>
    <row r="9" spans="1:4" s="68" customFormat="1" ht="24.95" customHeight="1" x14ac:dyDescent="0.2">
      <c r="A9" s="62">
        <v>7</v>
      </c>
      <c r="B9" s="82" t="s">
        <v>146</v>
      </c>
      <c r="C9" s="83" t="s">
        <v>153</v>
      </c>
      <c r="D9" s="84">
        <v>30900</v>
      </c>
    </row>
    <row r="10" spans="1:4" s="68" customFormat="1" ht="24.95" customHeight="1" x14ac:dyDescent="0.2">
      <c r="A10" s="62">
        <v>8</v>
      </c>
      <c r="B10" s="82" t="s">
        <v>146</v>
      </c>
      <c r="C10" s="83" t="s">
        <v>154</v>
      </c>
      <c r="D10" s="84">
        <v>19100</v>
      </c>
    </row>
    <row r="11" spans="1:4" s="68" customFormat="1" ht="24.95" customHeight="1" x14ac:dyDescent="0.2">
      <c r="A11" s="62">
        <v>9</v>
      </c>
      <c r="B11" s="82" t="s">
        <v>146</v>
      </c>
      <c r="C11" s="83" t="s">
        <v>155</v>
      </c>
      <c r="D11" s="84">
        <v>20900</v>
      </c>
    </row>
    <row r="12" spans="1:4" s="68" customFormat="1" ht="24.95" customHeight="1" x14ac:dyDescent="0.2">
      <c r="A12" s="62">
        <v>10</v>
      </c>
      <c r="B12" s="82" t="s">
        <v>146</v>
      </c>
      <c r="C12" s="83" t="s">
        <v>156</v>
      </c>
      <c r="D12" s="84">
        <v>26700</v>
      </c>
    </row>
    <row r="13" spans="1:4" s="68" customFormat="1" ht="24.95" customHeight="1" x14ac:dyDescent="0.2">
      <c r="A13" s="62">
        <v>11</v>
      </c>
      <c r="B13" s="82" t="s">
        <v>146</v>
      </c>
      <c r="C13" s="83" t="s">
        <v>157</v>
      </c>
      <c r="D13" s="84">
        <v>24800</v>
      </c>
    </row>
    <row r="14" spans="1:4" s="68" customFormat="1" ht="24.95" customHeight="1" x14ac:dyDescent="0.2">
      <c r="A14" s="62">
        <v>12</v>
      </c>
      <c r="B14" s="82" t="s">
        <v>146</v>
      </c>
      <c r="C14" s="83" t="s">
        <v>158</v>
      </c>
      <c r="D14" s="84">
        <v>20600</v>
      </c>
    </row>
    <row r="15" spans="1:4" ht="46.5" customHeight="1" x14ac:dyDescent="0.2">
      <c r="A15" s="63">
        <v>13</v>
      </c>
      <c r="B15" s="85" t="s">
        <v>159</v>
      </c>
      <c r="C15" s="86" t="s">
        <v>160</v>
      </c>
      <c r="D15" s="87" t="s">
        <v>161</v>
      </c>
    </row>
    <row r="16" spans="1:4" ht="30.75" customHeight="1" x14ac:dyDescent="0.2">
      <c r="A16" s="235" t="s">
        <v>143</v>
      </c>
      <c r="B16" s="235"/>
      <c r="C16" s="235"/>
      <c r="D16" s="235"/>
    </row>
    <row r="18" spans="1:4" ht="22.5" customHeight="1" x14ac:dyDescent="0.2">
      <c r="A18" s="351" t="s">
        <v>419</v>
      </c>
      <c r="B18" s="76" t="s">
        <v>162</v>
      </c>
      <c r="C18" s="77"/>
      <c r="D18" s="77"/>
    </row>
    <row r="19" spans="1:4" ht="30" customHeight="1" x14ac:dyDescent="0.2">
      <c r="A19" s="72" t="s">
        <v>118</v>
      </c>
      <c r="B19" s="72" t="s">
        <v>144</v>
      </c>
      <c r="C19" s="72" t="s">
        <v>130</v>
      </c>
      <c r="D19" s="72" t="s">
        <v>399</v>
      </c>
    </row>
    <row r="20" spans="1:4" ht="24.95" customHeight="1" x14ac:dyDescent="0.2">
      <c r="A20" s="90" t="s">
        <v>26</v>
      </c>
      <c r="B20" s="90" t="s">
        <v>165</v>
      </c>
      <c r="C20" s="91"/>
      <c r="D20" s="91">
        <v>92</v>
      </c>
    </row>
    <row r="21" spans="1:4" ht="24.95" customHeight="1" x14ac:dyDescent="0.2">
      <c r="A21" s="70">
        <v>1</v>
      </c>
      <c r="B21" s="71" t="s">
        <v>166</v>
      </c>
      <c r="C21" s="70" t="s">
        <v>167</v>
      </c>
      <c r="D21" s="70">
        <v>32.6</v>
      </c>
    </row>
    <row r="22" spans="1:4" ht="30" customHeight="1" x14ac:dyDescent="0.2">
      <c r="A22" s="70">
        <v>2</v>
      </c>
      <c r="B22" s="71" t="s">
        <v>168</v>
      </c>
      <c r="C22" s="70" t="s">
        <v>167</v>
      </c>
      <c r="D22" s="70">
        <v>2.1</v>
      </c>
    </row>
    <row r="23" spans="1:4" ht="24.95" customHeight="1" x14ac:dyDescent="0.2">
      <c r="A23" s="70">
        <v>3</v>
      </c>
      <c r="B23" s="71" t="s">
        <v>169</v>
      </c>
      <c r="C23" s="70" t="s">
        <v>170</v>
      </c>
      <c r="D23" s="70">
        <v>8.5</v>
      </c>
    </row>
    <row r="24" spans="1:4" ht="24.95" customHeight="1" x14ac:dyDescent="0.2">
      <c r="A24" s="70">
        <v>4</v>
      </c>
      <c r="B24" s="71" t="s">
        <v>171</v>
      </c>
      <c r="C24" s="70" t="s">
        <v>170</v>
      </c>
      <c r="D24" s="70">
        <v>5</v>
      </c>
    </row>
    <row r="25" spans="1:4" ht="24.95" customHeight="1" x14ac:dyDescent="0.2">
      <c r="A25" s="70">
        <v>5</v>
      </c>
      <c r="B25" s="71" t="s">
        <v>172</v>
      </c>
      <c r="C25" s="70" t="s">
        <v>173</v>
      </c>
      <c r="D25" s="70">
        <v>3</v>
      </c>
    </row>
    <row r="26" spans="1:4" ht="24.95" customHeight="1" x14ac:dyDescent="0.2">
      <c r="A26" s="70">
        <v>6</v>
      </c>
      <c r="B26" s="71" t="s">
        <v>174</v>
      </c>
      <c r="C26" s="70" t="s">
        <v>175</v>
      </c>
      <c r="D26" s="70">
        <v>3.2</v>
      </c>
    </row>
    <row r="27" spans="1:4" ht="35.1" customHeight="1" x14ac:dyDescent="0.2">
      <c r="A27" s="70">
        <v>7</v>
      </c>
      <c r="B27" s="71" t="s">
        <v>176</v>
      </c>
      <c r="C27" s="70" t="s">
        <v>177</v>
      </c>
      <c r="D27" s="70">
        <v>1.2</v>
      </c>
    </row>
    <row r="28" spans="1:4" ht="24.95" customHeight="1" x14ac:dyDescent="0.2">
      <c r="A28" s="70">
        <v>8</v>
      </c>
      <c r="B28" s="71" t="s">
        <v>178</v>
      </c>
      <c r="C28" s="70" t="s">
        <v>179</v>
      </c>
      <c r="D28" s="70">
        <v>6.8</v>
      </c>
    </row>
    <row r="29" spans="1:4" ht="24.95" customHeight="1" x14ac:dyDescent="0.2">
      <c r="A29" s="70">
        <v>9</v>
      </c>
      <c r="B29" s="71" t="s">
        <v>180</v>
      </c>
      <c r="C29" s="70" t="s">
        <v>179</v>
      </c>
      <c r="D29" s="70">
        <v>10</v>
      </c>
    </row>
    <row r="30" spans="1:4" ht="24.95" customHeight="1" x14ac:dyDescent="0.2">
      <c r="A30" s="70">
        <v>10</v>
      </c>
      <c r="B30" s="71" t="s">
        <v>181</v>
      </c>
      <c r="C30" s="70" t="s">
        <v>182</v>
      </c>
      <c r="D30" s="70">
        <v>5</v>
      </c>
    </row>
    <row r="31" spans="1:4" ht="24.95" customHeight="1" x14ac:dyDescent="0.2">
      <c r="A31" s="70">
        <v>11</v>
      </c>
      <c r="B31" s="71" t="s">
        <v>183</v>
      </c>
      <c r="C31" s="70" t="s">
        <v>182</v>
      </c>
      <c r="D31" s="70">
        <v>1</v>
      </c>
    </row>
    <row r="32" spans="1:4" ht="24.95" customHeight="1" x14ac:dyDescent="0.2">
      <c r="A32" s="70">
        <v>12</v>
      </c>
      <c r="B32" s="71" t="s">
        <v>184</v>
      </c>
      <c r="C32" s="70" t="s">
        <v>185</v>
      </c>
      <c r="D32" s="70">
        <v>13.6</v>
      </c>
    </row>
    <row r="33" spans="1:4" ht="24.95" customHeight="1" x14ac:dyDescent="0.2">
      <c r="A33" s="90" t="s">
        <v>36</v>
      </c>
      <c r="B33" s="90" t="s">
        <v>186</v>
      </c>
      <c r="C33" s="90" t="s">
        <v>187</v>
      </c>
      <c r="D33" s="90">
        <v>57</v>
      </c>
    </row>
    <row r="34" spans="1:4" ht="39" customHeight="1" x14ac:dyDescent="0.2">
      <c r="A34" s="236" t="s">
        <v>163</v>
      </c>
      <c r="B34" s="236"/>
      <c r="C34" s="236"/>
      <c r="D34" s="236"/>
    </row>
  </sheetData>
  <mergeCells count="2">
    <mergeCell ref="A16:D16"/>
    <mergeCell ref="A34:D3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view="pageBreakPreview" zoomScale="145" zoomScaleNormal="100" zoomScaleSheetLayoutView="145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21.42578125" style="46" customWidth="1"/>
    <col min="5" max="16384" width="8.85546875" style="46"/>
  </cols>
  <sheetData>
    <row r="1" spans="1:4" ht="24.75" customHeight="1" x14ac:dyDescent="0.2">
      <c r="A1" s="246" t="s">
        <v>115</v>
      </c>
      <c r="B1" s="246"/>
      <c r="C1" s="246"/>
      <c r="D1" s="246"/>
    </row>
    <row r="2" spans="1:4" ht="22.5" customHeight="1" x14ac:dyDescent="0.2">
      <c r="A2" s="351" t="s">
        <v>421</v>
      </c>
      <c r="B2" s="74" t="s">
        <v>188</v>
      </c>
      <c r="C2" s="93"/>
      <c r="D2" s="93"/>
    </row>
    <row r="3" spans="1:4" ht="30" customHeight="1" x14ac:dyDescent="0.2">
      <c r="A3" s="101" t="s">
        <v>118</v>
      </c>
      <c r="B3" s="245" t="s">
        <v>190</v>
      </c>
      <c r="C3" s="245"/>
      <c r="D3" s="102" t="s">
        <v>130</v>
      </c>
    </row>
    <row r="4" spans="1:4" ht="30" customHeight="1" x14ac:dyDescent="0.2">
      <c r="A4" s="64" t="s">
        <v>26</v>
      </c>
      <c r="B4" s="241" t="s">
        <v>191</v>
      </c>
      <c r="C4" s="241"/>
      <c r="D4" s="105"/>
    </row>
    <row r="5" spans="1:4" ht="30" customHeight="1" x14ac:dyDescent="0.2">
      <c r="A5" s="103">
        <v>2</v>
      </c>
      <c r="B5" s="244" t="s">
        <v>192</v>
      </c>
      <c r="C5" s="244"/>
      <c r="D5" s="104" t="s">
        <v>193</v>
      </c>
    </row>
    <row r="6" spans="1:4" ht="30" customHeight="1" x14ac:dyDescent="0.2">
      <c r="A6" s="62">
        <v>3</v>
      </c>
      <c r="B6" s="228" t="s">
        <v>194</v>
      </c>
      <c r="C6" s="228"/>
      <c r="D6" s="100" t="s">
        <v>195</v>
      </c>
    </row>
    <row r="7" spans="1:4" ht="30" customHeight="1" x14ac:dyDescent="0.2">
      <c r="A7" s="62">
        <v>4</v>
      </c>
      <c r="B7" s="228" t="s">
        <v>196</v>
      </c>
      <c r="C7" s="228"/>
      <c r="D7" s="100" t="s">
        <v>197</v>
      </c>
    </row>
    <row r="8" spans="1:4" ht="30" customHeight="1" x14ac:dyDescent="0.2">
      <c r="A8" s="62">
        <v>5</v>
      </c>
      <c r="B8" s="228" t="s">
        <v>198</v>
      </c>
      <c r="C8" s="228"/>
      <c r="D8" s="100" t="s">
        <v>199</v>
      </c>
    </row>
    <row r="9" spans="1:4" ht="30" customHeight="1" x14ac:dyDescent="0.2">
      <c r="A9" s="62">
        <v>6</v>
      </c>
      <c r="B9" s="228" t="s">
        <v>200</v>
      </c>
      <c r="C9" s="228"/>
      <c r="D9" s="100" t="s">
        <v>201</v>
      </c>
    </row>
    <row r="10" spans="1:4" ht="30" customHeight="1" x14ac:dyDescent="0.2">
      <c r="A10" s="62">
        <v>7</v>
      </c>
      <c r="B10" s="228" t="s">
        <v>202</v>
      </c>
      <c r="C10" s="228"/>
      <c r="D10" s="100" t="s">
        <v>203</v>
      </c>
    </row>
    <row r="11" spans="1:4" ht="30" customHeight="1" x14ac:dyDescent="0.2">
      <c r="A11" s="62">
        <v>8</v>
      </c>
      <c r="B11" s="228" t="s">
        <v>204</v>
      </c>
      <c r="C11" s="228"/>
      <c r="D11" s="100" t="s">
        <v>205</v>
      </c>
    </row>
    <row r="12" spans="1:4" ht="30" customHeight="1" x14ac:dyDescent="0.2">
      <c r="A12" s="62">
        <v>9</v>
      </c>
      <c r="B12" s="228" t="s">
        <v>206</v>
      </c>
      <c r="C12" s="228"/>
      <c r="D12" s="100" t="s">
        <v>207</v>
      </c>
    </row>
    <row r="13" spans="1:4" ht="30" customHeight="1" x14ac:dyDescent="0.2">
      <c r="A13" s="106">
        <v>10</v>
      </c>
      <c r="B13" s="240" t="s">
        <v>208</v>
      </c>
      <c r="C13" s="240"/>
      <c r="D13" s="107" t="s">
        <v>187</v>
      </c>
    </row>
    <row r="14" spans="1:4" ht="30" customHeight="1" x14ac:dyDescent="0.2">
      <c r="A14" s="64" t="s">
        <v>36</v>
      </c>
      <c r="B14" s="241" t="s">
        <v>209</v>
      </c>
      <c r="C14" s="241"/>
      <c r="D14" s="105"/>
    </row>
    <row r="15" spans="1:4" ht="30" customHeight="1" x14ac:dyDescent="0.2">
      <c r="A15" s="108">
        <v>11</v>
      </c>
      <c r="B15" s="242" t="s">
        <v>210</v>
      </c>
      <c r="C15" s="242"/>
      <c r="D15" s="109" t="s">
        <v>193</v>
      </c>
    </row>
    <row r="16" spans="1:4" ht="27" customHeight="1" x14ac:dyDescent="0.2">
      <c r="A16" s="243" t="s">
        <v>189</v>
      </c>
      <c r="B16" s="243"/>
      <c r="C16" s="243"/>
      <c r="D16" s="243"/>
    </row>
    <row r="17" spans="1:4" ht="24" customHeight="1" x14ac:dyDescent="0.2">
      <c r="A17" s="49"/>
      <c r="B17" s="50"/>
      <c r="C17" s="49"/>
    </row>
    <row r="18" spans="1:4" ht="22.5" customHeight="1" x14ac:dyDescent="0.2">
      <c r="A18" s="351" t="s">
        <v>422</v>
      </c>
      <c r="B18" s="94" t="s">
        <v>211</v>
      </c>
      <c r="C18" s="95"/>
      <c r="D18" s="95"/>
    </row>
    <row r="19" spans="1:4" ht="30" customHeight="1" x14ac:dyDescent="0.2">
      <c r="A19" s="65" t="s">
        <v>118</v>
      </c>
      <c r="B19" s="225" t="s">
        <v>144</v>
      </c>
      <c r="C19" s="225"/>
      <c r="D19" s="89" t="s">
        <v>213</v>
      </c>
    </row>
    <row r="20" spans="1:4" ht="30" customHeight="1" x14ac:dyDescent="0.2">
      <c r="A20" s="103" t="s">
        <v>26</v>
      </c>
      <c r="B20" s="244" t="s">
        <v>214</v>
      </c>
      <c r="C20" s="244"/>
      <c r="D20" s="104"/>
    </row>
    <row r="21" spans="1:4" ht="30" customHeight="1" x14ac:dyDescent="0.2">
      <c r="A21" s="62">
        <v>1</v>
      </c>
      <c r="B21" s="228" t="s">
        <v>215</v>
      </c>
      <c r="C21" s="228"/>
      <c r="D21" s="100" t="s">
        <v>216</v>
      </c>
    </row>
    <row r="22" spans="1:4" ht="30" customHeight="1" x14ac:dyDescent="0.2">
      <c r="A22" s="62">
        <v>2</v>
      </c>
      <c r="B22" s="228" t="s">
        <v>217</v>
      </c>
      <c r="C22" s="228"/>
      <c r="D22" s="100" t="s">
        <v>216</v>
      </c>
    </row>
    <row r="23" spans="1:4" ht="30" customHeight="1" x14ac:dyDescent="0.2">
      <c r="A23" s="63">
        <v>3</v>
      </c>
      <c r="B23" s="229" t="s">
        <v>218</v>
      </c>
      <c r="C23" s="229"/>
      <c r="D23" s="87" t="s">
        <v>219</v>
      </c>
    </row>
    <row r="24" spans="1:4" ht="29.25" customHeight="1" x14ac:dyDescent="0.2">
      <c r="A24" s="243" t="s">
        <v>212</v>
      </c>
      <c r="B24" s="243"/>
      <c r="C24" s="243"/>
      <c r="D24" s="243"/>
    </row>
    <row r="25" spans="1:4" ht="19.5" customHeight="1" x14ac:dyDescent="0.2">
      <c r="A25" s="96"/>
      <c r="B25" s="96"/>
      <c r="C25" s="96"/>
      <c r="D25" s="96"/>
    </row>
    <row r="26" spans="1:4" ht="22.5" customHeight="1" thickBot="1" x14ac:dyDescent="0.25">
      <c r="A26" s="94" t="s">
        <v>220</v>
      </c>
      <c r="B26" s="94" t="s">
        <v>221</v>
      </c>
      <c r="C26" s="95"/>
      <c r="D26" s="95"/>
    </row>
    <row r="27" spans="1:4" ht="29.25" customHeight="1" thickBot="1" x14ac:dyDescent="0.25">
      <c r="A27" s="237" t="s">
        <v>401</v>
      </c>
      <c r="B27" s="238"/>
      <c r="C27" s="238"/>
      <c r="D27" s="239"/>
    </row>
  </sheetData>
  <mergeCells count="22">
    <mergeCell ref="A1:D1"/>
    <mergeCell ref="B12:C12"/>
    <mergeCell ref="A16:D16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A27:D27"/>
    <mergeCell ref="B21:C21"/>
    <mergeCell ref="B22:C22"/>
    <mergeCell ref="B23:C23"/>
    <mergeCell ref="B13:C13"/>
    <mergeCell ref="B14:C14"/>
    <mergeCell ref="B15:C15"/>
    <mergeCell ref="A24:D24"/>
    <mergeCell ref="B19:C19"/>
    <mergeCell ref="B20:C2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view="pageBreakPreview" zoomScale="145" zoomScaleNormal="100" zoomScaleSheetLayoutView="145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21.42578125" style="46" customWidth="1"/>
    <col min="5" max="5" width="19.7109375" style="46" customWidth="1"/>
    <col min="6" max="16384" width="8.85546875" style="46"/>
  </cols>
  <sheetData>
    <row r="1" spans="1:5" ht="22.5" customHeight="1" x14ac:dyDescent="0.2">
      <c r="A1" s="351" t="s">
        <v>423</v>
      </c>
      <c r="B1" s="74" t="s">
        <v>222</v>
      </c>
      <c r="C1" s="95"/>
      <c r="D1" s="95"/>
      <c r="E1" s="95"/>
    </row>
    <row r="2" spans="1:5" ht="35.1" customHeight="1" x14ac:dyDescent="0.2">
      <c r="A2" s="72" t="s">
        <v>118</v>
      </c>
      <c r="B2" s="247" t="s">
        <v>190</v>
      </c>
      <c r="C2" s="248"/>
      <c r="D2" s="72" t="s">
        <v>130</v>
      </c>
      <c r="E2" s="72" t="s">
        <v>164</v>
      </c>
    </row>
    <row r="3" spans="1:5" ht="43.5" customHeight="1" x14ac:dyDescent="0.2">
      <c r="A3" s="70">
        <v>1</v>
      </c>
      <c r="B3" s="249" t="s">
        <v>224</v>
      </c>
      <c r="C3" s="250"/>
      <c r="D3" s="70" t="s">
        <v>225</v>
      </c>
      <c r="E3" s="70">
        <v>90</v>
      </c>
    </row>
    <row r="4" spans="1:5" ht="36" customHeight="1" x14ac:dyDescent="0.2">
      <c r="A4" s="70">
        <v>2</v>
      </c>
      <c r="B4" s="249" t="s">
        <v>226</v>
      </c>
      <c r="C4" s="250"/>
      <c r="D4" s="70" t="s">
        <v>227</v>
      </c>
      <c r="E4" s="70">
        <v>4.5</v>
      </c>
    </row>
    <row r="5" spans="1:5" ht="23.25" customHeight="1" x14ac:dyDescent="0.2">
      <c r="A5" s="70">
        <v>3</v>
      </c>
      <c r="B5" s="249" t="s">
        <v>228</v>
      </c>
      <c r="C5" s="250"/>
      <c r="D5" s="70" t="s">
        <v>227</v>
      </c>
      <c r="E5" s="70">
        <v>29.3</v>
      </c>
    </row>
    <row r="6" spans="1:5" ht="36" customHeight="1" x14ac:dyDescent="0.2">
      <c r="A6" s="70">
        <v>4</v>
      </c>
      <c r="B6" s="249" t="s">
        <v>229</v>
      </c>
      <c r="C6" s="250"/>
      <c r="D6" s="70" t="s">
        <v>230</v>
      </c>
      <c r="E6" s="70">
        <v>8.4</v>
      </c>
    </row>
    <row r="7" spans="1:5" ht="73.5" customHeight="1" x14ac:dyDescent="0.2">
      <c r="A7" s="70">
        <v>5</v>
      </c>
      <c r="B7" s="249" t="s">
        <v>231</v>
      </c>
      <c r="C7" s="250"/>
      <c r="D7" s="70" t="s">
        <v>232</v>
      </c>
      <c r="E7" s="70" t="s">
        <v>233</v>
      </c>
    </row>
    <row r="8" spans="1:5" ht="43.5" customHeight="1" x14ac:dyDescent="0.2">
      <c r="A8" s="236" t="s">
        <v>223</v>
      </c>
      <c r="B8" s="236"/>
      <c r="C8" s="236"/>
      <c r="D8" s="236"/>
      <c r="E8" s="236"/>
    </row>
    <row r="9" spans="1:5" ht="20.25" customHeight="1" x14ac:dyDescent="0.2">
      <c r="A9" s="49"/>
      <c r="B9" s="50"/>
      <c r="C9" s="49"/>
      <c r="D9" s="49"/>
    </row>
    <row r="10" spans="1:5" ht="22.5" customHeight="1" x14ac:dyDescent="0.2">
      <c r="A10" s="351" t="s">
        <v>424</v>
      </c>
      <c r="B10" s="74" t="s">
        <v>234</v>
      </c>
      <c r="C10" s="95"/>
      <c r="D10" s="95"/>
      <c r="E10" s="95"/>
    </row>
    <row r="11" spans="1:5" ht="35.25" customHeight="1" x14ac:dyDescent="0.2">
      <c r="A11" s="72" t="s">
        <v>118</v>
      </c>
      <c r="B11" s="72" t="s">
        <v>190</v>
      </c>
      <c r="C11" s="72" t="s">
        <v>130</v>
      </c>
      <c r="D11" s="72" t="s">
        <v>236</v>
      </c>
      <c r="E11" s="72" t="s">
        <v>237</v>
      </c>
    </row>
    <row r="12" spans="1:5" ht="30" customHeight="1" x14ac:dyDescent="0.2">
      <c r="A12" s="70">
        <v>1</v>
      </c>
      <c r="B12" s="71" t="s">
        <v>214</v>
      </c>
      <c r="C12" s="70" t="s">
        <v>238</v>
      </c>
      <c r="D12" s="251" t="s">
        <v>239</v>
      </c>
      <c r="E12" s="251" t="s">
        <v>240</v>
      </c>
    </row>
    <row r="13" spans="1:5" ht="30" customHeight="1" x14ac:dyDescent="0.2">
      <c r="A13" s="70">
        <v>2</v>
      </c>
      <c r="B13" s="71" t="s">
        <v>214</v>
      </c>
      <c r="C13" s="70" t="s">
        <v>241</v>
      </c>
      <c r="D13" s="252"/>
      <c r="E13" s="252"/>
    </row>
    <row r="14" spans="1:5" ht="30" customHeight="1" x14ac:dyDescent="0.2">
      <c r="A14" s="70">
        <v>3</v>
      </c>
      <c r="B14" s="71" t="s">
        <v>214</v>
      </c>
      <c r="C14" s="70" t="s">
        <v>242</v>
      </c>
      <c r="D14" s="252"/>
      <c r="E14" s="252"/>
    </row>
    <row r="15" spans="1:5" ht="30" customHeight="1" x14ac:dyDescent="0.2">
      <c r="A15" s="70">
        <v>4</v>
      </c>
      <c r="B15" s="71" t="s">
        <v>243</v>
      </c>
      <c r="C15" s="70" t="s">
        <v>242</v>
      </c>
      <c r="D15" s="252"/>
      <c r="E15" s="252"/>
    </row>
    <row r="16" spans="1:5" ht="30" customHeight="1" x14ac:dyDescent="0.2">
      <c r="A16" s="70">
        <v>5</v>
      </c>
      <c r="B16" s="71" t="s">
        <v>214</v>
      </c>
      <c r="C16" s="70" t="s">
        <v>244</v>
      </c>
      <c r="D16" s="252"/>
      <c r="E16" s="252"/>
    </row>
    <row r="17" spans="1:5" ht="30" customHeight="1" x14ac:dyDescent="0.2">
      <c r="A17" s="70">
        <v>6</v>
      </c>
      <c r="B17" s="71" t="s">
        <v>214</v>
      </c>
      <c r="C17" s="70" t="s">
        <v>245</v>
      </c>
      <c r="D17" s="252"/>
      <c r="E17" s="252"/>
    </row>
    <row r="18" spans="1:5" ht="30" customHeight="1" x14ac:dyDescent="0.2">
      <c r="A18" s="70">
        <v>7</v>
      </c>
      <c r="B18" s="71" t="s">
        <v>214</v>
      </c>
      <c r="C18" s="70" t="s">
        <v>246</v>
      </c>
      <c r="D18" s="252"/>
      <c r="E18" s="252"/>
    </row>
    <row r="19" spans="1:5" ht="30" customHeight="1" x14ac:dyDescent="0.2">
      <c r="A19" s="70">
        <v>8</v>
      </c>
      <c r="B19" s="71" t="s">
        <v>214</v>
      </c>
      <c r="C19" s="70" t="s">
        <v>247</v>
      </c>
      <c r="D19" s="253"/>
      <c r="E19" s="253"/>
    </row>
    <row r="20" spans="1:5" ht="40.5" customHeight="1" x14ac:dyDescent="0.2">
      <c r="A20" s="236" t="s">
        <v>235</v>
      </c>
      <c r="B20" s="236"/>
      <c r="C20" s="236"/>
      <c r="D20" s="236"/>
      <c r="E20" s="236"/>
    </row>
  </sheetData>
  <mergeCells count="10">
    <mergeCell ref="A20:E20"/>
    <mergeCell ref="B5:C5"/>
    <mergeCell ref="B6:C6"/>
    <mergeCell ref="B7:C7"/>
    <mergeCell ref="B2:C2"/>
    <mergeCell ref="B3:C3"/>
    <mergeCell ref="B4:C4"/>
    <mergeCell ref="D12:D19"/>
    <mergeCell ref="E12:E19"/>
    <mergeCell ref="A8:E8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view="pageBreakPreview" zoomScale="145" zoomScaleNormal="100" zoomScaleSheetLayoutView="145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21.42578125" style="46" customWidth="1"/>
    <col min="5" max="16384" width="8.85546875" style="46"/>
  </cols>
  <sheetData>
    <row r="1" spans="1:4" s="68" customFormat="1" ht="30" customHeight="1" x14ac:dyDescent="0.2">
      <c r="A1" s="111" t="s">
        <v>425</v>
      </c>
      <c r="B1" s="110" t="s">
        <v>248</v>
      </c>
    </row>
    <row r="2" spans="1:4" ht="30" customHeight="1" x14ac:dyDescent="0.2">
      <c r="A2" s="101" t="s">
        <v>118</v>
      </c>
      <c r="B2" s="254" t="s">
        <v>144</v>
      </c>
      <c r="C2" s="254"/>
      <c r="D2" s="102" t="s">
        <v>250</v>
      </c>
    </row>
    <row r="3" spans="1:4" ht="30" customHeight="1" x14ac:dyDescent="0.2">
      <c r="A3" s="64" t="s">
        <v>26</v>
      </c>
      <c r="B3" s="241" t="s">
        <v>251</v>
      </c>
      <c r="C3" s="241"/>
      <c r="D3" s="115"/>
    </row>
    <row r="4" spans="1:4" ht="30" customHeight="1" x14ac:dyDescent="0.2">
      <c r="A4" s="116">
        <v>1</v>
      </c>
      <c r="B4" s="255" t="s">
        <v>252</v>
      </c>
      <c r="C4" s="255"/>
      <c r="D4" s="117">
        <v>1</v>
      </c>
    </row>
    <row r="5" spans="1:4" ht="30" customHeight="1" x14ac:dyDescent="0.2">
      <c r="A5" s="64" t="s">
        <v>36</v>
      </c>
      <c r="B5" s="241" t="s">
        <v>191</v>
      </c>
      <c r="C5" s="241"/>
      <c r="D5" s="115"/>
    </row>
    <row r="6" spans="1:4" ht="30" customHeight="1" x14ac:dyDescent="0.2">
      <c r="A6" s="103">
        <v>1</v>
      </c>
      <c r="B6" s="244" t="s">
        <v>253</v>
      </c>
      <c r="C6" s="244"/>
      <c r="D6" s="114">
        <v>1</v>
      </c>
    </row>
    <row r="7" spans="1:4" ht="30" customHeight="1" x14ac:dyDescent="0.2">
      <c r="A7" s="62">
        <v>2</v>
      </c>
      <c r="B7" s="228" t="s">
        <v>254</v>
      </c>
      <c r="C7" s="228"/>
      <c r="D7" s="112">
        <v>1</v>
      </c>
    </row>
    <row r="8" spans="1:4" ht="30" customHeight="1" x14ac:dyDescent="0.2">
      <c r="A8" s="62">
        <v>3</v>
      </c>
      <c r="B8" s="228" t="s">
        <v>255</v>
      </c>
      <c r="C8" s="228"/>
      <c r="D8" s="112">
        <v>1</v>
      </c>
    </row>
    <row r="9" spans="1:4" ht="30" customHeight="1" x14ac:dyDescent="0.2">
      <c r="A9" s="62">
        <v>4</v>
      </c>
      <c r="B9" s="228" t="s">
        <v>256</v>
      </c>
      <c r="C9" s="228"/>
      <c r="D9" s="112">
        <v>1</v>
      </c>
    </row>
    <row r="10" spans="1:4" ht="30" customHeight="1" x14ac:dyDescent="0.2">
      <c r="A10" s="62">
        <v>5</v>
      </c>
      <c r="B10" s="228" t="s">
        <v>252</v>
      </c>
      <c r="C10" s="228"/>
      <c r="D10" s="112">
        <v>1</v>
      </c>
    </row>
    <row r="11" spans="1:4" ht="36.75" customHeight="1" x14ac:dyDescent="0.2">
      <c r="A11" s="63">
        <v>6</v>
      </c>
      <c r="B11" s="229" t="s">
        <v>257</v>
      </c>
      <c r="C11" s="229"/>
      <c r="D11" s="113"/>
    </row>
    <row r="12" spans="1:4" ht="35.25" customHeight="1" x14ac:dyDescent="0.2">
      <c r="A12" s="236" t="s">
        <v>249</v>
      </c>
      <c r="B12" s="236"/>
      <c r="C12" s="236"/>
      <c r="D12" s="236"/>
    </row>
    <row r="13" spans="1:4" ht="30" customHeight="1" x14ac:dyDescent="0.2"/>
    <row r="14" spans="1:4" s="92" customFormat="1" ht="30" customHeight="1" x14ac:dyDescent="0.2">
      <c r="A14" s="65" t="s">
        <v>118</v>
      </c>
      <c r="B14" s="88" t="s">
        <v>259</v>
      </c>
      <c r="C14" s="88" t="s">
        <v>213</v>
      </c>
      <c r="D14" s="89" t="s">
        <v>260</v>
      </c>
    </row>
    <row r="15" spans="1:4" ht="30" customHeight="1" x14ac:dyDescent="0.2">
      <c r="A15" s="103">
        <v>1</v>
      </c>
      <c r="B15" s="120" t="s">
        <v>261</v>
      </c>
      <c r="C15" s="121" t="s">
        <v>262</v>
      </c>
      <c r="D15" s="104" t="s">
        <v>263</v>
      </c>
    </row>
    <row r="16" spans="1:4" ht="30" customHeight="1" x14ac:dyDescent="0.2">
      <c r="A16" s="62">
        <v>2</v>
      </c>
      <c r="B16" s="82" t="s">
        <v>264</v>
      </c>
      <c r="C16" s="83" t="s">
        <v>265</v>
      </c>
      <c r="D16" s="100" t="s">
        <v>263</v>
      </c>
    </row>
    <row r="17" spans="1:4" ht="35.1" customHeight="1" x14ac:dyDescent="0.2">
      <c r="A17" s="62">
        <v>3</v>
      </c>
      <c r="B17" s="82" t="s">
        <v>266</v>
      </c>
      <c r="C17" s="83" t="s">
        <v>265</v>
      </c>
      <c r="D17" s="100" t="s">
        <v>263</v>
      </c>
    </row>
    <row r="18" spans="1:4" ht="30" customHeight="1" x14ac:dyDescent="0.2">
      <c r="A18" s="62">
        <v>4</v>
      </c>
      <c r="B18" s="82" t="s">
        <v>267</v>
      </c>
      <c r="C18" s="83" t="s">
        <v>268</v>
      </c>
      <c r="D18" s="100" t="s">
        <v>263</v>
      </c>
    </row>
    <row r="19" spans="1:4" ht="35.1" customHeight="1" x14ac:dyDescent="0.2">
      <c r="A19" s="62">
        <v>5</v>
      </c>
      <c r="B19" s="82" t="s">
        <v>269</v>
      </c>
      <c r="C19" s="83" t="s">
        <v>268</v>
      </c>
      <c r="D19" s="100" t="s">
        <v>263</v>
      </c>
    </row>
    <row r="20" spans="1:4" ht="35.1" customHeight="1" x14ac:dyDescent="0.2">
      <c r="A20" s="62">
        <v>6</v>
      </c>
      <c r="B20" s="82" t="s">
        <v>270</v>
      </c>
      <c r="C20" s="83" t="s">
        <v>271</v>
      </c>
      <c r="D20" s="100" t="s">
        <v>263</v>
      </c>
    </row>
    <row r="21" spans="1:4" ht="35.1" customHeight="1" x14ac:dyDescent="0.2">
      <c r="A21" s="62">
        <v>7</v>
      </c>
      <c r="B21" s="82" t="s">
        <v>272</v>
      </c>
      <c r="C21" s="83" t="s">
        <v>273</v>
      </c>
      <c r="D21" s="100" t="s">
        <v>263</v>
      </c>
    </row>
    <row r="22" spans="1:4" ht="30" customHeight="1" x14ac:dyDescent="0.2">
      <c r="A22" s="62">
        <v>8</v>
      </c>
      <c r="B22" s="82" t="s">
        <v>274</v>
      </c>
      <c r="C22" s="83" t="s">
        <v>275</v>
      </c>
      <c r="D22" s="100" t="s">
        <v>263</v>
      </c>
    </row>
    <row r="23" spans="1:4" ht="35.1" customHeight="1" x14ac:dyDescent="0.2">
      <c r="A23" s="62">
        <v>9</v>
      </c>
      <c r="B23" s="82" t="s">
        <v>276</v>
      </c>
      <c r="C23" s="83" t="s">
        <v>275</v>
      </c>
      <c r="D23" s="100" t="s">
        <v>263</v>
      </c>
    </row>
    <row r="24" spans="1:4" ht="30" customHeight="1" x14ac:dyDescent="0.2">
      <c r="A24" s="62">
        <v>10</v>
      </c>
      <c r="B24" s="82" t="s">
        <v>277</v>
      </c>
      <c r="C24" s="83" t="s">
        <v>278</v>
      </c>
      <c r="D24" s="100" t="s">
        <v>263</v>
      </c>
    </row>
    <row r="25" spans="1:4" ht="30" customHeight="1" x14ac:dyDescent="0.2">
      <c r="A25" s="62">
        <v>11</v>
      </c>
      <c r="B25" s="82" t="s">
        <v>279</v>
      </c>
      <c r="C25" s="83" t="s">
        <v>280</v>
      </c>
      <c r="D25" s="100" t="s">
        <v>263</v>
      </c>
    </row>
    <row r="26" spans="1:4" ht="30" customHeight="1" x14ac:dyDescent="0.2">
      <c r="A26" s="62">
        <v>12</v>
      </c>
      <c r="B26" s="82" t="s">
        <v>281</v>
      </c>
      <c r="C26" s="83" t="s">
        <v>280</v>
      </c>
      <c r="D26" s="100" t="s">
        <v>263</v>
      </c>
    </row>
    <row r="27" spans="1:4" ht="30" customHeight="1" x14ac:dyDescent="0.2">
      <c r="A27" s="63">
        <v>13</v>
      </c>
      <c r="B27" s="119" t="s">
        <v>282</v>
      </c>
      <c r="C27" s="86" t="s">
        <v>283</v>
      </c>
      <c r="D27" s="87" t="s">
        <v>263</v>
      </c>
    </row>
    <row r="28" spans="1:4" ht="38.25" customHeight="1" x14ac:dyDescent="0.2">
      <c r="A28" s="236" t="s">
        <v>258</v>
      </c>
      <c r="B28" s="236"/>
      <c r="C28" s="236"/>
      <c r="D28" s="236"/>
    </row>
  </sheetData>
  <mergeCells count="12">
    <mergeCell ref="A28:D28"/>
    <mergeCell ref="B2:C2"/>
    <mergeCell ref="B3:C3"/>
    <mergeCell ref="B4:C4"/>
    <mergeCell ref="B5:C5"/>
    <mergeCell ref="B6:C6"/>
    <mergeCell ref="B7:C7"/>
    <mergeCell ref="A12:D12"/>
    <mergeCell ref="B8:C8"/>
    <mergeCell ref="B9:C9"/>
    <mergeCell ref="B10:C10"/>
    <mergeCell ref="B11:C1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r:id="rId1"/>
  <rowBreaks count="1" manualBreakCount="1">
    <brk id="1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view="pageBreakPreview" topLeftCell="A25" zoomScale="145" zoomScaleNormal="100" zoomScaleSheetLayoutView="145" workbookViewId="0">
      <selection activeCell="M8" sqref="M8"/>
    </sheetView>
  </sheetViews>
  <sheetFormatPr defaultColWidth="8.85546875" defaultRowHeight="12.75" x14ac:dyDescent="0.2"/>
  <cols>
    <col min="1" max="1" width="8.85546875" style="46"/>
    <col min="2" max="2" width="54.28515625" style="46" customWidth="1"/>
    <col min="3" max="3" width="24.85546875" style="46" customWidth="1"/>
    <col min="4" max="4" width="21.42578125" style="46" customWidth="1"/>
    <col min="5" max="16384" width="8.85546875" style="46"/>
  </cols>
  <sheetData>
    <row r="1" spans="1:4" s="122" customFormat="1" ht="35.1" customHeight="1" x14ac:dyDescent="0.2">
      <c r="A1" s="111" t="s">
        <v>426</v>
      </c>
      <c r="B1" s="110" t="s">
        <v>284</v>
      </c>
    </row>
    <row r="2" spans="1:4" ht="27.75" customHeight="1" x14ac:dyDescent="0.2">
      <c r="A2" s="265" t="s">
        <v>403</v>
      </c>
      <c r="B2" s="265"/>
      <c r="C2" s="265"/>
      <c r="D2" s="265"/>
    </row>
    <row r="3" spans="1:4" ht="24.95" customHeight="1" x14ac:dyDescent="0.2">
      <c r="A3" s="97" t="s">
        <v>118</v>
      </c>
      <c r="B3" s="264" t="s">
        <v>259</v>
      </c>
      <c r="C3" s="264"/>
      <c r="D3" s="98" t="s">
        <v>260</v>
      </c>
    </row>
    <row r="4" spans="1:4" ht="24.95" customHeight="1" x14ac:dyDescent="0.2">
      <c r="A4" s="66" t="s">
        <v>26</v>
      </c>
      <c r="B4" s="263" t="s">
        <v>285</v>
      </c>
      <c r="C4" s="263"/>
      <c r="D4" s="99"/>
    </row>
    <row r="5" spans="1:4" ht="24.95" customHeight="1" x14ac:dyDescent="0.2">
      <c r="A5" s="62">
        <v>1</v>
      </c>
      <c r="B5" s="228" t="s">
        <v>286</v>
      </c>
      <c r="C5" s="228"/>
      <c r="D5" s="100"/>
    </row>
    <row r="6" spans="1:4" ht="24.95" customHeight="1" x14ac:dyDescent="0.2">
      <c r="A6" s="62">
        <v>2</v>
      </c>
      <c r="B6" s="228" t="s">
        <v>287</v>
      </c>
      <c r="C6" s="228"/>
      <c r="D6" s="100" t="s">
        <v>263</v>
      </c>
    </row>
    <row r="7" spans="1:4" ht="24.95" customHeight="1" x14ac:dyDescent="0.2">
      <c r="A7" s="66" t="s">
        <v>36</v>
      </c>
      <c r="B7" s="263" t="s">
        <v>288</v>
      </c>
      <c r="C7" s="263"/>
      <c r="D7" s="99"/>
    </row>
    <row r="8" spans="1:4" ht="24.95" customHeight="1" x14ac:dyDescent="0.2">
      <c r="A8" s="62">
        <v>1</v>
      </c>
      <c r="B8" s="228" t="s">
        <v>289</v>
      </c>
      <c r="C8" s="228"/>
      <c r="D8" s="100" t="s">
        <v>263</v>
      </c>
    </row>
    <row r="9" spans="1:4" ht="35.1" customHeight="1" x14ac:dyDescent="0.2">
      <c r="A9" s="62">
        <v>2</v>
      </c>
      <c r="B9" s="228" t="s">
        <v>290</v>
      </c>
      <c r="C9" s="228"/>
      <c r="D9" s="100"/>
    </row>
    <row r="10" spans="1:4" ht="24.95" customHeight="1" x14ac:dyDescent="0.2">
      <c r="A10" s="62">
        <v>3</v>
      </c>
      <c r="B10" s="228" t="s">
        <v>291</v>
      </c>
      <c r="C10" s="228"/>
      <c r="D10" s="100"/>
    </row>
    <row r="11" spans="1:4" ht="24.95" customHeight="1" x14ac:dyDescent="0.2">
      <c r="A11" s="66" t="s">
        <v>292</v>
      </c>
      <c r="B11" s="263" t="s">
        <v>293</v>
      </c>
      <c r="C11" s="263"/>
      <c r="D11" s="99"/>
    </row>
    <row r="12" spans="1:4" ht="35.1" customHeight="1" x14ac:dyDescent="0.2">
      <c r="A12" s="62">
        <v>1</v>
      </c>
      <c r="B12" s="228" t="s">
        <v>294</v>
      </c>
      <c r="C12" s="228"/>
      <c r="D12" s="100"/>
    </row>
    <row r="13" spans="1:4" ht="24.95" customHeight="1" x14ac:dyDescent="0.2">
      <c r="A13" s="62">
        <v>2</v>
      </c>
      <c r="B13" s="228" t="s">
        <v>295</v>
      </c>
      <c r="C13" s="228"/>
      <c r="D13" s="100"/>
    </row>
    <row r="14" spans="1:4" ht="24.95" customHeight="1" x14ac:dyDescent="0.2">
      <c r="A14" s="66" t="s">
        <v>296</v>
      </c>
      <c r="B14" s="263" t="s">
        <v>297</v>
      </c>
      <c r="C14" s="263"/>
      <c r="D14" s="99"/>
    </row>
    <row r="15" spans="1:4" ht="24.95" customHeight="1" x14ac:dyDescent="0.2">
      <c r="A15" s="62">
        <v>1</v>
      </c>
      <c r="B15" s="228" t="s">
        <v>298</v>
      </c>
      <c r="C15" s="228"/>
      <c r="D15" s="100"/>
    </row>
    <row r="16" spans="1:4" ht="24.95" customHeight="1" x14ac:dyDescent="0.2">
      <c r="A16" s="62">
        <v>2</v>
      </c>
      <c r="B16" s="228" t="s">
        <v>299</v>
      </c>
      <c r="C16" s="228"/>
      <c r="D16" s="118" t="s">
        <v>300</v>
      </c>
    </row>
    <row r="17" spans="1:4" ht="24.95" customHeight="1" x14ac:dyDescent="0.2">
      <c r="A17" s="66" t="s">
        <v>301</v>
      </c>
      <c r="B17" s="263" t="s">
        <v>302</v>
      </c>
      <c r="C17" s="263"/>
      <c r="D17" s="99"/>
    </row>
    <row r="18" spans="1:4" ht="24.95" customHeight="1" x14ac:dyDescent="0.2">
      <c r="A18" s="62">
        <v>1</v>
      </c>
      <c r="B18" s="228" t="s">
        <v>303</v>
      </c>
      <c r="C18" s="228"/>
      <c r="D18" s="100" t="s">
        <v>263</v>
      </c>
    </row>
    <row r="19" spans="1:4" ht="24.95" customHeight="1" x14ac:dyDescent="0.2">
      <c r="A19" s="66" t="s">
        <v>304</v>
      </c>
      <c r="B19" s="263" t="s">
        <v>305</v>
      </c>
      <c r="C19" s="263"/>
      <c r="D19" s="99"/>
    </row>
    <row r="20" spans="1:4" ht="24.95" customHeight="1" x14ac:dyDescent="0.2">
      <c r="A20" s="62">
        <v>1</v>
      </c>
      <c r="B20" s="228" t="s">
        <v>306</v>
      </c>
      <c r="C20" s="228"/>
      <c r="D20" s="100"/>
    </row>
    <row r="21" spans="1:4" ht="24.95" customHeight="1" x14ac:dyDescent="0.2">
      <c r="A21" s="66" t="s">
        <v>307</v>
      </c>
      <c r="B21" s="263" t="s">
        <v>308</v>
      </c>
      <c r="C21" s="263"/>
      <c r="D21" s="99"/>
    </row>
    <row r="22" spans="1:4" ht="24.95" customHeight="1" x14ac:dyDescent="0.2">
      <c r="A22" s="62">
        <v>1</v>
      </c>
      <c r="B22" s="228" t="s">
        <v>309</v>
      </c>
      <c r="C22" s="228"/>
      <c r="D22" s="100" t="s">
        <v>263</v>
      </c>
    </row>
    <row r="23" spans="1:4" ht="24.95" customHeight="1" x14ac:dyDescent="0.2">
      <c r="A23" s="62">
        <v>2</v>
      </c>
      <c r="B23" s="228" t="s">
        <v>310</v>
      </c>
      <c r="C23" s="228"/>
      <c r="D23" s="100"/>
    </row>
    <row r="24" spans="1:4" ht="24.95" customHeight="1" x14ac:dyDescent="0.2">
      <c r="A24" s="66" t="s">
        <v>311</v>
      </c>
      <c r="B24" s="263" t="s">
        <v>312</v>
      </c>
      <c r="C24" s="263"/>
      <c r="D24" s="99"/>
    </row>
    <row r="25" spans="1:4" ht="24.95" customHeight="1" x14ac:dyDescent="0.2">
      <c r="A25" s="62">
        <v>1</v>
      </c>
      <c r="B25" s="228" t="s">
        <v>313</v>
      </c>
      <c r="C25" s="228"/>
      <c r="D25" s="100"/>
    </row>
    <row r="26" spans="1:4" ht="24.95" customHeight="1" x14ac:dyDescent="0.2">
      <c r="A26" s="66" t="s">
        <v>314</v>
      </c>
      <c r="B26" s="263" t="s">
        <v>315</v>
      </c>
      <c r="C26" s="263"/>
      <c r="D26" s="99"/>
    </row>
    <row r="27" spans="1:4" ht="24.95" customHeight="1" x14ac:dyDescent="0.2">
      <c r="A27" s="62">
        <v>1</v>
      </c>
      <c r="B27" s="228" t="s">
        <v>316</v>
      </c>
      <c r="C27" s="228"/>
      <c r="D27" s="100"/>
    </row>
    <row r="28" spans="1:4" ht="24.95" customHeight="1" x14ac:dyDescent="0.2">
      <c r="A28" s="66" t="s">
        <v>317</v>
      </c>
      <c r="B28" s="263" t="s">
        <v>318</v>
      </c>
      <c r="C28" s="263"/>
      <c r="D28" s="99"/>
    </row>
    <row r="29" spans="1:4" ht="24.95" customHeight="1" x14ac:dyDescent="0.2">
      <c r="A29" s="62">
        <v>1</v>
      </c>
      <c r="B29" s="228" t="s">
        <v>319</v>
      </c>
      <c r="C29" s="228"/>
      <c r="D29" s="100" t="s">
        <v>320</v>
      </c>
    </row>
    <row r="30" spans="1:4" ht="24.95" customHeight="1" x14ac:dyDescent="0.2">
      <c r="A30" s="66" t="s">
        <v>321</v>
      </c>
      <c r="B30" s="263" t="s">
        <v>322</v>
      </c>
      <c r="C30" s="263"/>
      <c r="D30" s="99"/>
    </row>
    <row r="31" spans="1:4" ht="24.95" customHeight="1" x14ac:dyDescent="0.2">
      <c r="A31" s="62">
        <v>1</v>
      </c>
      <c r="B31" s="258" t="s">
        <v>323</v>
      </c>
      <c r="C31" s="259"/>
      <c r="D31" s="100"/>
    </row>
    <row r="32" spans="1:4" ht="24.95" customHeight="1" x14ac:dyDescent="0.2">
      <c r="A32" s="66" t="s">
        <v>324</v>
      </c>
      <c r="B32" s="263" t="s">
        <v>325</v>
      </c>
      <c r="C32" s="263"/>
      <c r="D32" s="99"/>
    </row>
    <row r="33" spans="1:4" ht="24.95" customHeight="1" x14ac:dyDescent="0.2">
      <c r="A33" s="62">
        <v>1</v>
      </c>
      <c r="B33" s="258" t="s">
        <v>326</v>
      </c>
      <c r="C33" s="260"/>
      <c r="D33" s="100"/>
    </row>
    <row r="34" spans="1:4" ht="24.95" customHeight="1" x14ac:dyDescent="0.2">
      <c r="A34" s="66" t="s">
        <v>327</v>
      </c>
      <c r="B34" s="263" t="s">
        <v>328</v>
      </c>
      <c r="C34" s="263"/>
      <c r="D34" s="99"/>
    </row>
    <row r="35" spans="1:4" ht="24.95" customHeight="1" x14ac:dyDescent="0.2">
      <c r="A35" s="62">
        <v>1</v>
      </c>
      <c r="B35" s="258" t="s">
        <v>329</v>
      </c>
      <c r="C35" s="260"/>
      <c r="D35" s="100"/>
    </row>
    <row r="36" spans="1:4" ht="24.95" customHeight="1" x14ac:dyDescent="0.2">
      <c r="A36" s="63">
        <v>2</v>
      </c>
      <c r="B36" s="261" t="s">
        <v>330</v>
      </c>
      <c r="C36" s="262"/>
      <c r="D36" s="87"/>
    </row>
    <row r="37" spans="1:4" ht="37.5" customHeight="1" x14ac:dyDescent="0.2">
      <c r="A37" s="256" t="s">
        <v>402</v>
      </c>
      <c r="B37" s="256"/>
      <c r="C37" s="256"/>
      <c r="D37" s="256"/>
    </row>
    <row r="38" spans="1:4" s="29" customFormat="1" ht="20.100000000000001" customHeight="1" x14ac:dyDescent="0.2">
      <c r="A38" s="257" t="s">
        <v>55</v>
      </c>
      <c r="B38" s="257"/>
      <c r="C38" s="257"/>
      <c r="D38" s="257"/>
    </row>
  </sheetData>
  <mergeCells count="37">
    <mergeCell ref="A2:D2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28:C28"/>
    <mergeCell ref="B29:C29"/>
    <mergeCell ref="B30:C30"/>
    <mergeCell ref="B32:C32"/>
    <mergeCell ref="A37:D37"/>
    <mergeCell ref="A38:D38"/>
    <mergeCell ref="B31:C31"/>
    <mergeCell ref="B33:C33"/>
    <mergeCell ref="B35:C35"/>
    <mergeCell ref="B36:C36"/>
    <mergeCell ref="B34:C3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view="pageBreakPreview" topLeftCell="A16" zoomScale="115" zoomScaleNormal="89" zoomScaleSheetLayoutView="115" workbookViewId="0">
      <selection activeCell="M8" sqref="M8"/>
    </sheetView>
  </sheetViews>
  <sheetFormatPr defaultColWidth="8.7109375" defaultRowHeight="15" x14ac:dyDescent="0.2"/>
  <cols>
    <col min="1" max="1" width="5.7109375" style="30" customWidth="1"/>
    <col min="2" max="2" width="16" style="26" customWidth="1"/>
    <col min="3" max="3" width="44.42578125" style="26" customWidth="1"/>
    <col min="4" max="4" width="51" style="26" customWidth="1"/>
    <col min="5" max="5" width="35.28515625" style="26" customWidth="1"/>
    <col min="6" max="16384" width="8.7109375" style="26"/>
  </cols>
  <sheetData>
    <row r="1" spans="1:5" s="2" customFormat="1" ht="35.1" customHeight="1" x14ac:dyDescent="0.2">
      <c r="A1" s="75" t="s">
        <v>0</v>
      </c>
      <c r="B1" s="170"/>
      <c r="C1" s="168"/>
      <c r="D1" s="168"/>
      <c r="E1" s="168"/>
    </row>
    <row r="2" spans="1:5" s="2" customFormat="1" ht="35.1" customHeight="1" x14ac:dyDescent="0.2">
      <c r="A2" s="75" t="s">
        <v>331</v>
      </c>
      <c r="B2" s="110"/>
      <c r="C2" s="168"/>
      <c r="D2" s="168"/>
      <c r="E2" s="169"/>
    </row>
    <row r="3" spans="1:5" s="6" customFormat="1" ht="35.25" customHeight="1" x14ac:dyDescent="0.2">
      <c r="A3" s="126" t="s">
        <v>404</v>
      </c>
      <c r="B3" s="127" t="s">
        <v>3</v>
      </c>
      <c r="C3" s="127" t="s">
        <v>332</v>
      </c>
      <c r="D3" s="127" t="s">
        <v>405</v>
      </c>
      <c r="E3" s="128" t="s">
        <v>333</v>
      </c>
    </row>
    <row r="4" spans="1:5" s="8" customFormat="1" ht="43.5" customHeight="1" x14ac:dyDescent="0.2">
      <c r="A4" s="273">
        <v>1</v>
      </c>
      <c r="B4" s="276" t="s">
        <v>21</v>
      </c>
      <c r="C4" s="282"/>
      <c r="D4" s="285" t="s">
        <v>334</v>
      </c>
      <c r="E4" s="287"/>
    </row>
    <row r="5" spans="1:5" s="8" customFormat="1" ht="3" customHeight="1" x14ac:dyDescent="0.2">
      <c r="A5" s="274"/>
      <c r="B5" s="277"/>
      <c r="C5" s="283"/>
      <c r="D5" s="286"/>
      <c r="E5" s="288"/>
    </row>
    <row r="6" spans="1:5" s="8" customFormat="1" ht="45" customHeight="1" x14ac:dyDescent="0.2">
      <c r="A6" s="274"/>
      <c r="B6" s="277"/>
      <c r="C6" s="283"/>
      <c r="D6" s="135" t="s">
        <v>335</v>
      </c>
      <c r="E6" s="288"/>
    </row>
    <row r="7" spans="1:5" s="8" customFormat="1" ht="33" customHeight="1" x14ac:dyDescent="0.2">
      <c r="A7" s="274"/>
      <c r="B7" s="277"/>
      <c r="C7" s="283"/>
      <c r="D7" s="135" t="s">
        <v>336</v>
      </c>
      <c r="E7" s="288"/>
    </row>
    <row r="8" spans="1:5" s="8" customFormat="1" ht="38.1" customHeight="1" x14ac:dyDescent="0.2">
      <c r="A8" s="275"/>
      <c r="B8" s="278"/>
      <c r="C8" s="284"/>
      <c r="D8" s="136" t="s">
        <v>337</v>
      </c>
      <c r="E8" s="289"/>
    </row>
    <row r="9" spans="1:5" s="8" customFormat="1" ht="64.5" customHeight="1" x14ac:dyDescent="0.2">
      <c r="A9" s="273">
        <v>2</v>
      </c>
      <c r="B9" s="276" t="s">
        <v>25</v>
      </c>
      <c r="C9" s="129" t="s">
        <v>338</v>
      </c>
      <c r="D9" s="129" t="s">
        <v>339</v>
      </c>
      <c r="E9" s="137" t="s">
        <v>340</v>
      </c>
    </row>
    <row r="10" spans="1:5" s="8" customFormat="1" ht="60" customHeight="1" x14ac:dyDescent="0.2">
      <c r="A10" s="274"/>
      <c r="B10" s="277"/>
      <c r="C10" s="138"/>
      <c r="D10" s="135" t="s">
        <v>341</v>
      </c>
      <c r="E10" s="139" t="s">
        <v>342</v>
      </c>
    </row>
    <row r="11" spans="1:5" s="8" customFormat="1" ht="38.25" customHeight="1" x14ac:dyDescent="0.2">
      <c r="A11" s="275"/>
      <c r="B11" s="278"/>
      <c r="C11" s="140"/>
      <c r="D11" s="136" t="s">
        <v>343</v>
      </c>
      <c r="E11" s="141"/>
    </row>
    <row r="12" spans="1:5" s="20" customFormat="1" ht="81" customHeight="1" x14ac:dyDescent="0.2">
      <c r="A12" s="130">
        <v>3</v>
      </c>
      <c r="B12" s="131" t="s">
        <v>30</v>
      </c>
      <c r="C12" s="142" t="s">
        <v>344</v>
      </c>
      <c r="D12" s="269" t="s">
        <v>345</v>
      </c>
      <c r="E12" s="144"/>
    </row>
    <row r="13" spans="1:5" s="20" customFormat="1" ht="77.25" customHeight="1" x14ac:dyDescent="0.2">
      <c r="A13" s="124"/>
      <c r="B13" s="125"/>
      <c r="C13" s="145" t="s">
        <v>346</v>
      </c>
      <c r="D13" s="270"/>
      <c r="E13" s="146"/>
    </row>
    <row r="14" spans="1:5" s="20" customFormat="1" ht="66" customHeight="1" x14ac:dyDescent="0.2">
      <c r="A14" s="132"/>
      <c r="B14" s="133"/>
      <c r="C14" s="147"/>
      <c r="D14" s="148" t="s">
        <v>347</v>
      </c>
      <c r="E14" s="149"/>
    </row>
    <row r="15" spans="1:5" s="8" customFormat="1" ht="71.25" customHeight="1" x14ac:dyDescent="0.2">
      <c r="A15" s="271">
        <v>4</v>
      </c>
      <c r="B15" s="276" t="s">
        <v>31</v>
      </c>
      <c r="C15" s="142" t="s">
        <v>348</v>
      </c>
      <c r="D15" s="142" t="s">
        <v>349</v>
      </c>
      <c r="E15" s="144"/>
    </row>
    <row r="16" spans="1:5" s="8" customFormat="1" ht="81" customHeight="1" x14ac:dyDescent="0.2">
      <c r="A16" s="279"/>
      <c r="B16" s="277"/>
      <c r="C16" s="145" t="s">
        <v>350</v>
      </c>
      <c r="D16" s="145" t="s">
        <v>351</v>
      </c>
      <c r="E16" s="146"/>
    </row>
    <row r="17" spans="1:5" s="8" customFormat="1" ht="36" customHeight="1" x14ac:dyDescent="0.2">
      <c r="A17" s="272"/>
      <c r="B17" s="278"/>
      <c r="C17" s="147"/>
      <c r="D17" s="148" t="s">
        <v>352</v>
      </c>
      <c r="E17" s="149"/>
    </row>
    <row r="18" spans="1:5" s="8" customFormat="1" ht="29.1" customHeight="1" x14ac:dyDescent="0.2">
      <c r="A18" s="134">
        <v>5</v>
      </c>
      <c r="B18" s="11" t="s">
        <v>35</v>
      </c>
      <c r="C18" s="18"/>
      <c r="D18" s="14" t="s">
        <v>353</v>
      </c>
      <c r="E18" s="19"/>
    </row>
    <row r="19" spans="1:5" s="8" customFormat="1" ht="35.25" customHeight="1" x14ac:dyDescent="0.2">
      <c r="A19" s="134">
        <v>6</v>
      </c>
      <c r="B19" s="11" t="s">
        <v>37</v>
      </c>
      <c r="C19" s="18"/>
      <c r="D19" s="14" t="s">
        <v>354</v>
      </c>
      <c r="E19" s="150" t="s">
        <v>355</v>
      </c>
    </row>
    <row r="20" spans="1:5" ht="65.25" customHeight="1" x14ac:dyDescent="0.2">
      <c r="A20" s="271">
        <v>7</v>
      </c>
      <c r="B20" s="280" t="s">
        <v>41</v>
      </c>
      <c r="C20" s="151" t="s">
        <v>356</v>
      </c>
      <c r="D20" s="152" t="s">
        <v>357</v>
      </c>
      <c r="E20" s="153"/>
    </row>
    <row r="21" spans="1:5" ht="86.25" customHeight="1" x14ac:dyDescent="0.2">
      <c r="A21" s="272"/>
      <c r="B21" s="281"/>
      <c r="C21" s="154" t="s">
        <v>358</v>
      </c>
      <c r="D21" s="155"/>
      <c r="E21" s="156"/>
    </row>
    <row r="22" spans="1:5" s="8" customFormat="1" ht="99.75" customHeight="1" x14ac:dyDescent="0.2">
      <c r="A22" s="134">
        <v>8</v>
      </c>
      <c r="B22" s="11" t="s">
        <v>44</v>
      </c>
      <c r="C22" s="157" t="s">
        <v>359</v>
      </c>
      <c r="D22" s="18"/>
      <c r="E22" s="19"/>
    </row>
    <row r="23" spans="1:5" s="8" customFormat="1" ht="95.1" customHeight="1" x14ac:dyDescent="0.2">
      <c r="A23" s="266">
        <v>9</v>
      </c>
      <c r="B23" s="188" t="s">
        <v>45</v>
      </c>
      <c r="C23" s="158" t="s">
        <v>360</v>
      </c>
      <c r="D23" s="159" t="s">
        <v>361</v>
      </c>
      <c r="E23" s="160" t="s">
        <v>362</v>
      </c>
    </row>
    <row r="24" spans="1:5" s="20" customFormat="1" ht="15.95" customHeight="1" x14ac:dyDescent="0.2">
      <c r="A24" s="267"/>
      <c r="B24" s="189"/>
      <c r="C24" s="161"/>
      <c r="D24" s="161"/>
      <c r="E24" s="162" t="s">
        <v>363</v>
      </c>
    </row>
    <row r="25" spans="1:5" s="20" customFormat="1" ht="15.95" customHeight="1" x14ac:dyDescent="0.2">
      <c r="A25" s="267"/>
      <c r="B25" s="189"/>
      <c r="C25" s="161"/>
      <c r="D25" s="161"/>
      <c r="E25" s="163" t="s">
        <v>364</v>
      </c>
    </row>
    <row r="26" spans="1:5" s="20" customFormat="1" ht="15.95" customHeight="1" x14ac:dyDescent="0.2">
      <c r="A26" s="268"/>
      <c r="B26" s="190"/>
      <c r="C26" s="164"/>
      <c r="D26" s="164"/>
      <c r="E26" s="165" t="s">
        <v>365</v>
      </c>
    </row>
    <row r="27" spans="1:5" ht="64.5" customHeight="1" x14ac:dyDescent="0.2">
      <c r="A27" s="134">
        <v>10</v>
      </c>
      <c r="B27" s="22" t="s">
        <v>49</v>
      </c>
      <c r="C27" s="23" t="s">
        <v>366</v>
      </c>
      <c r="D27" s="166" t="s">
        <v>367</v>
      </c>
      <c r="E27" s="25"/>
    </row>
    <row r="28" spans="1:5" ht="51.75" customHeight="1" x14ac:dyDescent="0.2">
      <c r="A28" s="134">
        <v>11</v>
      </c>
      <c r="B28" s="22" t="s">
        <v>54</v>
      </c>
      <c r="C28" s="24"/>
      <c r="D28" s="166" t="s">
        <v>368</v>
      </c>
      <c r="E28" s="25"/>
    </row>
    <row r="29" spans="1:5" s="29" customFormat="1" ht="20.100000000000001" customHeight="1" x14ac:dyDescent="0.2">
      <c r="A29" s="27"/>
      <c r="B29" s="43" t="s">
        <v>55</v>
      </c>
    </row>
  </sheetData>
  <mergeCells count="15">
    <mergeCell ref="A4:A8"/>
    <mergeCell ref="B4:B8"/>
    <mergeCell ref="C4:C8"/>
    <mergeCell ref="D4:D5"/>
    <mergeCell ref="E4:E5"/>
    <mergeCell ref="E6:E8"/>
    <mergeCell ref="A23:A26"/>
    <mergeCell ref="B23:B26"/>
    <mergeCell ref="D12:D13"/>
    <mergeCell ref="A20:A21"/>
    <mergeCell ref="A9:A11"/>
    <mergeCell ref="B9:B11"/>
    <mergeCell ref="A15:A17"/>
    <mergeCell ref="B15:B17"/>
    <mergeCell ref="B20:B2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landscape" r:id="rId1"/>
  <rowBreaks count="2" manualBreakCount="2">
    <brk id="11" max="16383" man="1"/>
    <brk id="20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5:I12"/>
  <sheetViews>
    <sheetView view="pageBreakPreview" zoomScale="145" zoomScaleNormal="100" zoomScaleSheetLayoutView="145" workbookViewId="0">
      <selection activeCell="M8" sqref="M8"/>
    </sheetView>
  </sheetViews>
  <sheetFormatPr defaultRowHeight="12.75" x14ac:dyDescent="0.2"/>
  <sheetData>
    <row r="5" spans="1:9" ht="55.5" customHeight="1" x14ac:dyDescent="0.2">
      <c r="A5" s="374" t="s">
        <v>432</v>
      </c>
      <c r="B5" s="375"/>
      <c r="C5" s="375"/>
      <c r="D5" s="375"/>
      <c r="E5" s="375"/>
      <c r="F5" s="375"/>
      <c r="G5" s="375"/>
      <c r="H5" s="375"/>
      <c r="I5" s="376"/>
    </row>
    <row r="8" spans="1:9" ht="19.5" x14ac:dyDescent="0.2">
      <c r="A8" s="369"/>
      <c r="B8" s="369"/>
      <c r="C8" s="369"/>
      <c r="D8" s="369"/>
      <c r="E8" s="369"/>
      <c r="F8" s="369"/>
      <c r="G8" s="369"/>
      <c r="H8" s="369"/>
      <c r="I8" s="369"/>
    </row>
    <row r="9" spans="1:9" x14ac:dyDescent="0.2">
      <c r="A9" s="370"/>
      <c r="B9" s="370"/>
      <c r="C9" s="370"/>
      <c r="D9" s="370"/>
      <c r="E9" s="370"/>
      <c r="F9" s="370"/>
      <c r="G9" s="370"/>
      <c r="H9" s="370"/>
      <c r="I9" s="370"/>
    </row>
    <row r="10" spans="1:9" ht="19.5" x14ac:dyDescent="0.2">
      <c r="A10" s="369"/>
      <c r="B10" s="369"/>
      <c r="C10" s="369"/>
      <c r="D10" s="369"/>
      <c r="E10" s="369"/>
      <c r="F10" s="369"/>
      <c r="G10" s="369"/>
      <c r="H10" s="369"/>
      <c r="I10" s="369"/>
    </row>
    <row r="11" spans="1:9" x14ac:dyDescent="0.2">
      <c r="A11" s="370"/>
      <c r="B11" s="370"/>
      <c r="C11" s="370"/>
      <c r="D11" s="370"/>
      <c r="E11" s="370"/>
      <c r="F11" s="370"/>
      <c r="G11" s="370"/>
      <c r="H11" s="370"/>
      <c r="I11" s="370"/>
    </row>
    <row r="12" spans="1:9" ht="39" customHeight="1" x14ac:dyDescent="0.2">
      <c r="A12" s="371"/>
      <c r="B12" s="372"/>
      <c r="C12" s="372"/>
      <c r="D12" s="372"/>
      <c r="E12" s="372"/>
      <c r="F12" s="372"/>
      <c r="G12" s="372"/>
      <c r="H12" s="372"/>
      <c r="I12" s="372"/>
    </row>
  </sheetData>
  <mergeCells count="4">
    <mergeCell ref="A5:I5"/>
    <mergeCell ref="A8:I8"/>
    <mergeCell ref="A10:I10"/>
    <mergeCell ref="A12:I1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tabSelected="1" view="pageBreakPreview" zoomScale="115" zoomScaleNormal="75" zoomScaleSheetLayoutView="115" workbookViewId="0">
      <selection activeCell="R7" sqref="R7"/>
    </sheetView>
  </sheetViews>
  <sheetFormatPr defaultColWidth="8.7109375" defaultRowHeight="12.75" x14ac:dyDescent="0.2"/>
  <cols>
    <col min="1" max="1" width="5.7109375" style="52" customWidth="1"/>
    <col min="2" max="2" width="23.140625" style="51" bestFit="1" customWidth="1"/>
    <col min="3" max="3" width="8.42578125" style="52" customWidth="1"/>
    <col min="4" max="4" width="23.7109375" style="51" customWidth="1"/>
    <col min="5" max="5" width="16.28515625" style="51" customWidth="1"/>
    <col min="6" max="6" width="20.42578125" style="51" customWidth="1"/>
    <col min="7" max="7" width="19.140625" style="51" customWidth="1"/>
    <col min="8" max="8" width="14.140625" style="51" customWidth="1"/>
    <col min="9" max="9" width="15.42578125" style="51" customWidth="1"/>
    <col min="10" max="10" width="25.7109375" style="51" customWidth="1"/>
    <col min="11" max="11" width="20.140625" style="51" customWidth="1"/>
    <col min="12" max="12" width="11" style="51" customWidth="1"/>
    <col min="13" max="13" width="10.7109375" style="51" customWidth="1"/>
    <col min="14" max="14" width="39.7109375" style="51" customWidth="1"/>
    <col min="15" max="15" width="18.140625" style="51" customWidth="1"/>
    <col min="16" max="16" width="20.7109375" style="51" customWidth="1"/>
    <col min="17" max="17" width="19.140625" style="51" customWidth="1"/>
    <col min="18" max="18" width="12.85546875" style="51" customWidth="1"/>
    <col min="19" max="19" width="19.7109375" style="51" customWidth="1"/>
    <col min="20" max="16384" width="8.7109375" style="51"/>
  </cols>
  <sheetData>
    <row r="1" spans="1:13" ht="35.1" customHeight="1" x14ac:dyDescent="0.2">
      <c r="A1" s="167" t="s">
        <v>0</v>
      </c>
      <c r="B1" s="171"/>
    </row>
    <row r="2" spans="1:13" s="55" customFormat="1" ht="35.1" customHeight="1" x14ac:dyDescent="0.2">
      <c r="A2" s="373" t="s">
        <v>369</v>
      </c>
      <c r="B2" s="172"/>
      <c r="C2" s="54"/>
    </row>
    <row r="3" spans="1:13" s="56" customFormat="1" ht="27" customHeight="1" x14ac:dyDescent="0.2">
      <c r="A3" s="292" t="s">
        <v>118</v>
      </c>
      <c r="B3" s="264" t="s">
        <v>3</v>
      </c>
      <c r="C3" s="264" t="s">
        <v>4</v>
      </c>
      <c r="D3" s="290" t="s">
        <v>370</v>
      </c>
      <c r="E3" s="290"/>
      <c r="F3" s="290"/>
      <c r="G3" s="290"/>
      <c r="H3" s="264" t="s">
        <v>371</v>
      </c>
      <c r="I3" s="264"/>
      <c r="J3" s="264"/>
      <c r="K3" s="291"/>
    </row>
    <row r="4" spans="1:13" s="56" customFormat="1" ht="94.5" x14ac:dyDescent="0.2">
      <c r="A4" s="293"/>
      <c r="B4" s="294"/>
      <c r="C4" s="294"/>
      <c r="D4" s="179" t="s">
        <v>372</v>
      </c>
      <c r="E4" s="179" t="s">
        <v>373</v>
      </c>
      <c r="F4" s="179" t="s">
        <v>374</v>
      </c>
      <c r="G4" s="179" t="s">
        <v>375</v>
      </c>
      <c r="H4" s="179" t="s">
        <v>376</v>
      </c>
      <c r="I4" s="179" t="s">
        <v>377</v>
      </c>
      <c r="J4" s="179" t="s">
        <v>378</v>
      </c>
      <c r="K4" s="180" t="s">
        <v>379</v>
      </c>
      <c r="M4" s="56">
        <v>1</v>
      </c>
    </row>
    <row r="5" spans="1:13" s="56" customFormat="1" ht="15.75" x14ac:dyDescent="0.2">
      <c r="A5" s="293"/>
      <c r="B5" s="294"/>
      <c r="C5" s="294"/>
      <c r="D5" s="179" t="s">
        <v>19</v>
      </c>
      <c r="E5" s="179" t="s">
        <v>17</v>
      </c>
      <c r="F5" s="179" t="s">
        <v>380</v>
      </c>
      <c r="G5" s="179" t="s">
        <v>381</v>
      </c>
      <c r="H5" s="181"/>
      <c r="I5" s="181"/>
      <c r="J5" s="181"/>
      <c r="K5" s="182"/>
    </row>
    <row r="6" spans="1:13" s="53" customFormat="1" ht="37.5" customHeight="1" x14ac:dyDescent="0.2">
      <c r="A6" s="184">
        <v>1</v>
      </c>
      <c r="B6" s="185" t="s">
        <v>21</v>
      </c>
      <c r="C6" s="174" t="s">
        <v>22</v>
      </c>
      <c r="D6" s="175">
        <v>31319</v>
      </c>
      <c r="E6" s="174">
        <v>50</v>
      </c>
      <c r="F6" s="174">
        <v>59</v>
      </c>
      <c r="G6" s="173" t="s">
        <v>382</v>
      </c>
      <c r="H6" s="173"/>
      <c r="I6" s="173" t="s">
        <v>383</v>
      </c>
      <c r="J6" s="173"/>
      <c r="K6" s="176"/>
    </row>
    <row r="7" spans="1:13" s="53" customFormat="1" ht="206.25" customHeight="1" x14ac:dyDescent="0.2">
      <c r="A7" s="184">
        <v>2</v>
      </c>
      <c r="B7" s="185" t="s">
        <v>25</v>
      </c>
      <c r="C7" s="174">
        <v>1</v>
      </c>
      <c r="D7" s="173"/>
      <c r="E7" s="173">
        <v>15</v>
      </c>
      <c r="F7" s="173" t="s">
        <v>384</v>
      </c>
      <c r="G7" s="173">
        <v>17</v>
      </c>
      <c r="H7" s="173"/>
      <c r="I7" s="173"/>
      <c r="J7" s="173" t="s">
        <v>383</v>
      </c>
      <c r="K7" s="176" t="s">
        <v>383</v>
      </c>
    </row>
    <row r="8" spans="1:13" s="53" customFormat="1" ht="69" customHeight="1" x14ac:dyDescent="0.2">
      <c r="A8" s="184">
        <v>3</v>
      </c>
      <c r="B8" s="185" t="s">
        <v>385</v>
      </c>
      <c r="C8" s="174" t="s">
        <v>36</v>
      </c>
      <c r="D8" s="173" t="s">
        <v>386</v>
      </c>
      <c r="E8" s="173" t="s">
        <v>387</v>
      </c>
      <c r="F8" s="173" t="s">
        <v>388</v>
      </c>
      <c r="G8" s="173" t="s">
        <v>389</v>
      </c>
      <c r="H8" s="173"/>
      <c r="I8" s="173"/>
      <c r="J8" s="173"/>
      <c r="K8" s="176"/>
    </row>
    <row r="9" spans="1:13" s="53" customFormat="1" ht="89.25" customHeight="1" x14ac:dyDescent="0.2">
      <c r="A9" s="184">
        <v>4</v>
      </c>
      <c r="B9" s="185" t="s">
        <v>45</v>
      </c>
      <c r="C9" s="174"/>
      <c r="D9" s="173" t="s">
        <v>390</v>
      </c>
      <c r="E9" s="174">
        <v>436</v>
      </c>
      <c r="F9" s="173" t="s">
        <v>391</v>
      </c>
      <c r="G9" s="173" t="s">
        <v>392</v>
      </c>
      <c r="H9" s="174" t="s">
        <v>393</v>
      </c>
      <c r="I9" s="174"/>
      <c r="J9" s="174"/>
      <c r="K9" s="123"/>
    </row>
    <row r="10" spans="1:13" s="53" customFormat="1" ht="96" customHeight="1" x14ac:dyDescent="0.2">
      <c r="A10" s="186">
        <v>5</v>
      </c>
      <c r="B10" s="187" t="s">
        <v>37</v>
      </c>
      <c r="C10" s="178" t="s">
        <v>36</v>
      </c>
      <c r="D10" s="177" t="s">
        <v>394</v>
      </c>
      <c r="E10" s="178">
        <v>179</v>
      </c>
      <c r="F10" s="178">
        <v>18</v>
      </c>
      <c r="G10" s="177" t="s">
        <v>395</v>
      </c>
      <c r="H10" s="178" t="s">
        <v>396</v>
      </c>
      <c r="I10" s="178" t="s">
        <v>396</v>
      </c>
      <c r="J10" s="178" t="s">
        <v>397</v>
      </c>
      <c r="K10" s="183" t="s">
        <v>396</v>
      </c>
    </row>
    <row r="11" spans="1:13" s="29" customFormat="1" ht="20.100000000000001" customHeight="1" x14ac:dyDescent="0.2">
      <c r="A11" s="43" t="s">
        <v>55</v>
      </c>
    </row>
    <row r="12" spans="1:13" s="29" customFormat="1" ht="20.100000000000001" customHeight="1" x14ac:dyDescent="0.2">
      <c r="A12" s="27"/>
      <c r="B12" s="50"/>
      <c r="C12" s="49"/>
      <c r="D12" s="50"/>
      <c r="E12" s="50"/>
      <c r="F12" s="50"/>
      <c r="G12" s="50"/>
      <c r="H12" s="50"/>
    </row>
    <row r="13" spans="1:13" s="29" customFormat="1" ht="21" customHeight="1" x14ac:dyDescent="0.2">
      <c r="A13" s="57"/>
      <c r="C13" s="57"/>
    </row>
    <row r="14" spans="1:13" s="29" customFormat="1" ht="24" customHeight="1" x14ac:dyDescent="0.2">
      <c r="A14" s="57"/>
      <c r="C14" s="57"/>
    </row>
    <row r="15" spans="1:13" s="29" customFormat="1" ht="24" customHeight="1" x14ac:dyDescent="0.2">
      <c r="A15" s="57"/>
      <c r="C15" s="57"/>
    </row>
  </sheetData>
  <mergeCells count="5">
    <mergeCell ref="D3:G3"/>
    <mergeCell ref="H3:K3"/>
    <mergeCell ref="A3:A5"/>
    <mergeCell ref="B3:B5"/>
    <mergeCell ref="C3:C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Cover(Table 3)</vt:lpstr>
      <vt:lpstr>Table 3-Drainage&amp;Sewerage</vt:lpstr>
      <vt:lpstr>Table 3a-WWTP</vt:lpstr>
      <vt:lpstr>Table 3b. Plan WWTP(1)</vt:lpstr>
      <vt:lpstr>Table 3b. Plan WWTP (2)</vt:lpstr>
      <vt:lpstr>Table 3b. Plan WWTP (3)</vt:lpstr>
      <vt:lpstr>Table 3b. Plan WWTP (4)</vt:lpstr>
      <vt:lpstr>Table 3b. Plan WWTP (5)</vt:lpstr>
      <vt:lpstr>Table 3b. Plan WWTP (6)</vt:lpstr>
      <vt:lpstr>Table 3c-Promulgate doc</vt:lpstr>
      <vt:lpstr>Cover(Table 4)</vt:lpstr>
      <vt:lpstr>Table 4-Service charge</vt:lpstr>
      <vt:lpstr>'Cover(Table 3)'!Print_Area</vt:lpstr>
      <vt:lpstr>'Cover(Table 4)'!Print_Area</vt:lpstr>
      <vt:lpstr>'Table 3b. Plan WWTP (2)'!Print_Area</vt:lpstr>
      <vt:lpstr>'Table 3b. Plan WWTP (3)'!Print_Area</vt:lpstr>
      <vt:lpstr>'Table 3b. Plan WWTP (4)'!Print_Area</vt:lpstr>
      <vt:lpstr>'Table 3b. Plan WWTP (5)'!Print_Area</vt:lpstr>
      <vt:lpstr>'Table 3b. Plan WWTP(1)'!Print_Area</vt:lpstr>
      <vt:lpstr>'Table 4-Service charge'!Print_Area</vt:lpstr>
      <vt:lpstr>'Table 3a-WWTP'!Print_Titles</vt:lpstr>
      <vt:lpstr>'Table 3c-Promulgate doc'!Print_Titles</vt:lpstr>
      <vt:lpstr>'Table 3-Drainage&amp;Sewerage'!Print_Titles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이상엽</dc:creator>
  <cp:lastModifiedBy>이상엽</cp:lastModifiedBy>
  <cp:lastPrinted>2024-07-01T03:51:52Z</cp:lastPrinted>
  <dcterms:created xsi:type="dcterms:W3CDTF">2024-06-30T23:39:24Z</dcterms:created>
  <dcterms:modified xsi:type="dcterms:W3CDTF">2024-07-01T07:59:41Z</dcterms:modified>
</cp:coreProperties>
</file>