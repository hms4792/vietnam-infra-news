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showInkAnnotation="0" defaultThemeVersion="164011"/>
  <bookViews>
    <workbookView xWindow="0" yWindow="0" windowWidth="14700" windowHeight="11745"/>
  </bookViews>
  <sheets>
    <sheet name="Redriver privnces" sheetId="1" r:id="rId1"/>
    <sheet name="Regulatory framework" sheetId="2" r:id="rId2"/>
  </sheets>
  <definedNames>
    <definedName name="_xlnm.Print_Area" localSheetId="0">'Redriver privnces'!$A$1:$M$22</definedName>
    <definedName name="_xlnm.Print_Titles" localSheetId="0">'Redriver privnces'!$A:$B,'Redriver privnces'!$2:$3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7" i="1" l="1"/>
  <c r="C15" i="1" l="1"/>
  <c r="D15" i="1" l="1"/>
  <c r="E15" i="1"/>
  <c r="L15" i="1"/>
  <c r="M15" i="1"/>
</calcChain>
</file>

<file path=xl/comments1.xml><?xml version="1.0" encoding="utf-8"?>
<comments xmlns="http://schemas.openxmlformats.org/spreadsheetml/2006/main">
  <authors>
    <author>Author</author>
  </authors>
  <commentList>
    <comment ref="D6" authorId="0" shapeId="0">
      <text>
        <r>
          <rPr>
            <sz val="11"/>
            <color rgb="FF000000"/>
            <rFont val="Times New Roman"/>
            <family val="18"/>
          </rPr>
          <t xml:space="preserve">Author:
</t>
        </r>
        <r>
          <rPr>
            <sz val="11"/>
            <color rgb="FF000000"/>
            <rFont val="Times New Roman"/>
            <family val="18"/>
          </rPr>
          <t>Số 626 QĐ-UBND ngày 27/03/2018 QĐ V/v Phê duyệt QHTN thải thành phố Hải Phòng</t>
        </r>
      </text>
    </comment>
    <comment ref="C7" authorId="0" shapeId="0">
      <text>
        <r>
          <rPr>
            <b/>
            <sz val="9"/>
            <color indexed="81"/>
            <rFont val="Tahoma"/>
            <charset val="1"/>
          </rPr>
          <t>Author:</t>
        </r>
        <r>
          <rPr>
            <sz val="9"/>
            <color indexed="81"/>
            <rFont val="Tahoma"/>
            <charset val="1"/>
          </rPr>
          <t xml:space="preserve">
Urban population rate is approx. 65-68%, Article 1, sub-clause 3, item a Decision 1259/QD-TTg dated 26/7/2011 on approval of Hanoi General Master Plan to 2030 and vision to 2050</t>
        </r>
      </text>
    </comment>
    <comment ref="D12" authorId="0" shapeId="0">
      <text>
        <r>
          <rPr>
            <sz val="10"/>
            <color rgb="FF000000"/>
            <rFont val="Calibri"/>
            <family val="2"/>
          </rPr>
          <t xml:space="preserve">Author:
</t>
        </r>
        <r>
          <rPr>
            <sz val="10"/>
            <color rgb="FF000000"/>
            <rFont val="Calibri"/>
            <family val="2"/>
          </rPr>
          <t xml:space="preserve">Số 626 QĐ-UBND ngày 27/03/2018 QĐ V/v Phê duyệt QHTN thải thành phố Hải Phòng
</t>
        </r>
      </text>
    </comment>
    <comment ref="E12" authorId="0" shapeId="0">
      <text>
        <r>
          <rPr>
            <sz val="10"/>
            <color rgb="FF000000"/>
            <rFont val="Calibri"/>
            <family val="2"/>
          </rPr>
          <t xml:space="preserve">Author:
</t>
        </r>
        <r>
          <rPr>
            <sz val="10"/>
            <color rgb="FF000000"/>
            <rFont val="Calibri"/>
            <family val="2"/>
          </rPr>
          <t xml:space="preserve">Số 2796/QĐ-UBND ngày 10/12/2018 V/v Duyệt phê duyệt Đồ án QH Thoát nước mưa và nước thải thành phố Nam Định đến năm 2030, tầm nhìn đến 2050
</t>
        </r>
      </text>
    </comment>
    <comment ref="M12" authorId="0" shapeId="0">
      <text>
        <r>
          <rPr>
            <b/>
            <sz val="10"/>
            <color rgb="FF000000"/>
            <rFont val="Tahoma"/>
            <family val="2"/>
          </rPr>
          <t xml:space="preserve">Author:
</t>
        </r>
        <r>
          <rPr>
            <sz val="10"/>
            <color rgb="FF000000"/>
            <rFont val="Times New Roman"/>
            <family val="18"/>
          </rPr>
          <t>Quyết định Số 80/QĐ-TTg ngày 11/02/2023 Phê duyệt QH tỉnh Quảng Ninh thời kỳ 2021-2030, tầm  nhìn đến năm 2050</t>
        </r>
      </text>
    </comment>
    <comment ref="G14" authorId="0" shapeId="0">
      <text>
        <r>
          <rPr>
            <b/>
            <sz val="10"/>
            <color rgb="FF000000"/>
            <rFont val="Tahoma"/>
            <family val="2"/>
          </rPr>
          <t>Author:</t>
        </r>
        <r>
          <rPr>
            <sz val="10"/>
            <color rgb="FF000000"/>
            <rFont val="Tahoma"/>
            <family val="2"/>
          </rPr>
          <t xml:space="preserve">
https://baothaibinh.com.vn/tin-tuc/0/87411/87411</t>
        </r>
      </text>
    </comment>
    <comment ref="M14" authorId="0" shapeId="0">
      <text>
        <r>
          <rPr>
            <b/>
            <sz val="10"/>
            <color rgb="FF000000"/>
            <rFont val="Tahoma"/>
            <family val="2"/>
          </rPr>
          <t xml:space="preserve">Author:
</t>
        </r>
        <r>
          <rPr>
            <b/>
            <sz val="10"/>
            <color rgb="FF000000"/>
            <rFont val="Tahoma"/>
            <family val="2"/>
          </rPr>
          <t>https://quangninh.gov.vn/chuyen-de/chuyendoiso/Trang/ChiTietTinTuc.aspx?nid=136325</t>
        </r>
      </text>
    </comment>
    <comment ref="D16" authorId="0" shapeId="0">
      <text>
        <r>
          <rPr>
            <sz val="10"/>
            <color rgb="FF000000"/>
            <rFont val="Tahoma"/>
            <family val="2"/>
          </rPr>
          <t xml:space="preserve">Author:
</t>
        </r>
        <r>
          <rPr>
            <sz val="10"/>
            <color rgb="FF000000"/>
            <rFont val="Tahoma"/>
            <family val="2"/>
          </rPr>
          <t>https://vi.wikipedia.org/wiki/Hải_Phòng</t>
        </r>
      </text>
    </comment>
    <comment ref="E16" authorId="0" shapeId="0">
      <text>
        <r>
          <rPr>
            <b/>
            <sz val="10"/>
            <color rgb="FF000000"/>
            <rFont val="Tahoma"/>
            <family val="2"/>
          </rPr>
          <t xml:space="preserve">Author:
</t>
        </r>
        <r>
          <rPr>
            <sz val="10"/>
            <color rgb="FF000000"/>
            <rFont val="Times New Roman"/>
            <family val="18"/>
          </rPr>
          <t>https://www.namdinh.gso.gov.vn/kinh-te-xa-hoi/hop-bao-cong-bo-so-lieu-kinh-te-xa-hoi-nam-2023-tinh-nam-dinh-1052.html</t>
        </r>
      </text>
    </comment>
    <comment ref="F16" authorId="0" shapeId="0">
      <text>
        <r>
          <rPr>
            <sz val="10"/>
            <color rgb="FF000000"/>
            <rFont val="Tahoma"/>
            <family val="2"/>
          </rPr>
          <t xml:space="preserve">Author:
</t>
        </r>
        <r>
          <rPr>
            <sz val="10"/>
            <color rgb="FF000000"/>
            <rFont val="Tahoma"/>
            <family val="2"/>
          </rPr>
          <t>https://thongkeninhbinh.gov.vn/userfiles/file/Infor%20KTXH%20nam%202023(1).pdf</t>
        </r>
      </text>
    </comment>
    <comment ref="G16" authorId="0" shapeId="0">
      <text>
        <r>
          <rPr>
            <sz val="10"/>
            <color rgb="FF000000"/>
            <rFont val="Tahoma"/>
            <family val="2"/>
          </rPr>
          <t xml:space="preserve">Author:
</t>
        </r>
        <r>
          <rPr>
            <sz val="10"/>
            <color rgb="FF000000"/>
            <rFont val="Tahoma"/>
            <family val="2"/>
          </rPr>
          <t>https://baothaibinh.com.vn/tin-tuc/225/190485/gdp-nam-2023-tang-5-05</t>
        </r>
      </text>
    </comment>
    <comment ref="I16" authorId="0" shapeId="0">
      <text>
        <r>
          <rPr>
            <b/>
            <sz val="10"/>
            <color rgb="FF000000"/>
            <rFont val="Tahoma"/>
            <family val="2"/>
          </rPr>
          <t xml:space="preserve">Author:
</t>
        </r>
        <r>
          <rPr>
            <sz val="10"/>
            <color rgb="FF000000"/>
            <rFont val="Times New Roman"/>
            <family val="18"/>
          </rPr>
          <t>http://www.thongkehungyen.gov.vn/vi/news/so-lieu-thong-ke/tinh-hinh-kinh-te-xa-hoi-tinh-hung-yen-thang-12-va-ca-nam-2023-333.html</t>
        </r>
      </text>
    </comment>
    <comment ref="J16" authorId="0" shapeId="0">
      <text>
        <r>
          <rPr>
            <b/>
            <sz val="10"/>
            <color rgb="FF000000"/>
            <rFont val="Tahoma"/>
            <family val="2"/>
          </rPr>
          <t xml:space="preserve">Author:
</t>
        </r>
        <r>
          <rPr>
            <sz val="10"/>
            <color rgb="FF000000"/>
            <rFont val="Times New Roman"/>
            <family val="18"/>
          </rPr>
          <t>https://hanamtv.vn/ha-nam-tang-truong-kinh-te-nam-2023-dung-thu-8-toan-quoc-33743.html</t>
        </r>
      </text>
    </comment>
    <comment ref="K16" authorId="0" shapeId="0">
      <text>
        <r>
          <rPr>
            <sz val="10"/>
            <color rgb="FF000000"/>
            <rFont val="Tahoma"/>
            <family val="2"/>
          </rPr>
          <t xml:space="preserve">Author:
</t>
        </r>
        <r>
          <rPr>
            <sz val="10"/>
            <color rgb="FF000000"/>
            <rFont val="Tahoma"/>
            <family val="2"/>
          </rPr>
          <t>https://baohaiduong.vn/tang-truong-kinh-te-cua-hai-duong-tang-13-bac-369281.html</t>
        </r>
      </text>
    </comment>
    <comment ref="L16" authorId="0" shapeId="0">
      <text>
        <r>
          <rPr>
            <sz val="10"/>
            <color rgb="FF000000"/>
            <rFont val="Tahoma"/>
            <family val="2"/>
          </rPr>
          <t xml:space="preserve">Author:
</t>
        </r>
        <r>
          <rPr>
            <sz val="10"/>
            <color rgb="FF000000"/>
            <rFont val="Tahoma"/>
            <family val="2"/>
          </rPr>
          <t>https://baochinhphu.vn/vinh-phuc-quyet-liet-thao-go-diem-nghen-khoi-phuc-da-tang-truong-ngay-tu-dau-nam-10223122915472711.htm</t>
        </r>
      </text>
    </comment>
    <comment ref="M16" authorId="0" shapeId="0">
      <text>
        <r>
          <rPr>
            <sz val="10"/>
            <color rgb="FF000000"/>
            <rFont val="Tahoma"/>
            <family val="2"/>
          </rPr>
          <t xml:space="preserve">Author:
</t>
        </r>
        <r>
          <rPr>
            <sz val="10"/>
            <color rgb="FF000000"/>
            <rFont val="Tahoma"/>
            <family val="2"/>
          </rPr>
          <t>https://baoquangninh.vn/quang-ninh-dat-ky-tich-vang-ve-tang-truong-3273096.html</t>
        </r>
      </text>
    </comment>
    <comment ref="F17" authorId="0" shapeId="0">
      <text>
        <r>
          <rPr>
            <b/>
            <sz val="10"/>
            <color rgb="FF000000"/>
            <rFont val="Tahoma"/>
            <family val="2"/>
          </rPr>
          <t xml:space="preserve">Author:
</t>
        </r>
      </text>
    </comment>
  </commentList>
</comments>
</file>

<file path=xl/sharedStrings.xml><?xml version="1.0" encoding="utf-8"?>
<sst xmlns="http://schemas.openxmlformats.org/spreadsheetml/2006/main" count="129" uniqueCount="88">
  <si>
    <t>Special</t>
  </si>
  <si>
    <t>Grade 1</t>
  </si>
  <si>
    <t>Grade 2</t>
  </si>
  <si>
    <t>Hà Nội</t>
  </si>
  <si>
    <t>Hải Phòng</t>
  </si>
  <si>
    <t>Ninh Bình</t>
  </si>
  <si>
    <t>Nam Dinh</t>
  </si>
  <si>
    <t>Thai Binh</t>
  </si>
  <si>
    <t xml:space="preserve"> Bac Ninh</t>
  </si>
  <si>
    <t>Hung Yen</t>
  </si>
  <si>
    <t>Ha Nam</t>
  </si>
  <si>
    <t>Hai Duong</t>
  </si>
  <si>
    <t>Vinh Phuc</t>
  </si>
  <si>
    <t>Quang Ninh</t>
  </si>
  <si>
    <t>UPDATE DATA SUMMARY AND ANALYSIS OF INVESTMENT NEEDS IN THE URBAN DRAINAGE/SEWERAGE SYSTEMS</t>
  </si>
  <si>
    <t>No.</t>
  </si>
  <si>
    <t>Items</t>
  </si>
  <si>
    <t>Red River Delta Cities/Provinces</t>
  </si>
  <si>
    <t>Urban Grade</t>
  </si>
  <si>
    <t>Urban area (ha)</t>
  </si>
  <si>
    <t>110000 -120000</t>
  </si>
  <si>
    <t>Apply environmental protection charge and drainage service charge together</t>
  </si>
  <si>
    <t>X</t>
  </si>
  <si>
    <r>
      <t xml:space="preserve">Regulatory framework 
</t>
    </r>
    <r>
      <rPr>
        <i/>
        <sz val="10"/>
        <color rgb="FFFF0000"/>
        <rFont val="Times New Roman"/>
        <family val="1"/>
      </rPr>
      <t>Regulations on management of drainage activities  (in accordance with Decree 80/2015)</t>
    </r>
  </si>
  <si>
    <t>Proposal on building drainage service charges and the roadmap for increasing drainage service charges is being implemented to replace the price of drainage services from 2019</t>
  </si>
  <si>
    <t xml:space="preserve">Decision No.41/2017/QĐ-UBND dated 6/12/2017 of Hanoi PC promulgating regulations on management of drainage  activities in the area of Hanoi City 
</t>
  </si>
  <si>
    <t xml:space="preserve">Decision No. 47/2017/QĐ - UBND dated 29/12/2017 promulgating regulations on drainage activities in the area of Hai Phong City 
</t>
  </si>
  <si>
    <t xml:space="preserve">Decision No. 38/2019/QĐ-UBND dated 24/10/2019 of Nam Dinh PPC stipulating regulations on connections with the drainage system in the area of Nam Dinh City
</t>
  </si>
  <si>
    <t xml:space="preserve">- Decision No.48/2021/QĐ-UBND dated 28/10/2021 of Nam Dinh PPC promulgating regulations on drainage and wastewater treatment activties in the area of Nam Dinh province
- Decision No. 17/2019/QD-UBND dated 5/6/2019 regulating the price of drainage and wastewater treatment services in An Xa Industrial Park, Nam Dinh City, Nam Dinh Province, effective from 16/6/2019
</t>
  </si>
  <si>
    <t>Decision No. 24/2020/QD-UBND dated September 9, 2020 regulating the price of water drainage and wastewater treatment services for water drainage systems invested from the state budget in Ninh Binh city, Ninh Binh province, effective from October 1, 2020</t>
  </si>
  <si>
    <t xml:space="preserve">Decision No. 08/2017/QĐ-UBND dated 20/7/2017 of Thai Binh PPC on decentralization of state mangement competence of the technical infrastructure in Thai Binh province </t>
  </si>
  <si>
    <t>- Decision 953/QD-UBND dated 18/4/2017 on approving the price of drainage services at 1,032 VND/m3 and the roadmap for price increase from 2021-2030
- Decision 79/QD-UNBD dated 10/1/2018 approving the price of drainage services at 1,039 VND/m3</t>
  </si>
  <si>
    <t xml:space="preserve">- Decision No. 02/2016/QĐ-UBND dated 29/1/2016 of Bac Ninh PPC promulgating regulations on drainage activities in Bac Ninh province 
- Decision No. 03/2018/QĐ-UBND dated 31/1/2018 of Bac Ninh PC on issuance of environmental technical criteria for wastewater applied in Bac Ninh province  </t>
  </si>
  <si>
    <t xml:space="preserve">Decision No. 35/2019/QĐ-UBND dated 09/9/2019 of Ha Nam PPC promulgating regulations on drainage and wastewater treatment activities in Hà Nam  province     </t>
  </si>
  <si>
    <t>Decision No. 51/QD-UBND dated 6//2020 of the Provincial People's Committee promulgating wastewater drainage service prices in Phu Ly city in 2019</t>
  </si>
  <si>
    <t>Decision No. 23/2016/QĐ-UBND dated 05/08/2016 of Hai Duong PPC promulgating regulations on drainage and wastewater treatment activities in Hai Duong province</t>
  </si>
  <si>
    <t>Decision No. 1503/QD-UBND dated 10/6/2016 on regulating the collection rate and roadmap for water drainage services in Hai Duong city, Hai Duong province; the collection of water drainage services has only been implemented in Hai Duong city (with a wastewater treatment plant and operation management unit); other urban areas that have not been implemented</t>
  </si>
  <si>
    <t>Decision No. 21/2018/QD-UBND dated 02/10/2018 of Vinh Phuc Provincial People's Committee promulgating regulations on management of water drainage and wastewater treatment activities in the province</t>
  </si>
  <si>
    <t>Decision No. 969/QĐ-UBND dated 1/4/2016 of PPC promulgating regulations on drainage and wastewater treatment activities in Quang Ninh province</t>
  </si>
  <si>
    <t>Resolution No. 61/2017/NQ-HDND dated 07/07/2017 on Regulations on environmental protection charges for domestic wastewater in Quang Ninh province</t>
  </si>
  <si>
    <t>Regulations on Drainage service charge (in accordance with Decree 80/2015)</t>
  </si>
  <si>
    <t>Estimated volume of wastewater (2030) (m3/ngđ)</t>
  </si>
  <si>
    <t>Volume of wastewater to be collected or to be schedule to collect</t>
  </si>
  <si>
    <t>Status of operation of the existing WWTP</t>
  </si>
  <si>
    <t>Expected capacity of the WWTP to be developed (m3/ngd)</t>
  </si>
  <si>
    <t>Environmental sensitivity</t>
  </si>
  <si>
    <t>Experience in management of drainage and sewerage system</t>
  </si>
  <si>
    <t>Having approx. 20 years of experience in management, operation and maintanence of the WWTP and sewerage system</t>
  </si>
  <si>
    <t>Hanoi is a special urban area with great demand for the development of drainage and sewerage system, and has the location of the watershed of rivers such as the Nhue River, To Lich River, Taurus River, and Set River</t>
  </si>
  <si>
    <t>Except for Truc Bach and Kim Lien WWTP, Trừ 2 NM Trúc Bạch và Kim Liên, most of wastewater treatment plants are operating under 50% of the design and construction capacity</t>
  </si>
  <si>
    <r>
      <t xml:space="preserve">Decision No. 34/2021/QD-UBND dated 29/10/2021 promulgating water drainage service charge in Hai Phong City, effective from 09/11/2021 replacing Decision No. 204/2017/QD-UBND dated 25/01/2017 of Hai Phong City People's Committee 
</t>
    </r>
    <r>
      <rPr>
        <b/>
        <i/>
        <sz val="10"/>
        <color rgb="FFFF0000"/>
        <rFont val="Times New Roman"/>
        <family val="1"/>
      </rPr>
      <t>Article 1: Prices of water drainage services in Hai Phong City
Drainage service price: 20% of the selling price of clean water</t>
    </r>
    <r>
      <rPr>
        <sz val="10"/>
        <color rgb="FFFF0000"/>
        <rFont val="Times New Roman"/>
        <family val="1"/>
      </rPr>
      <t xml:space="preserve">
2. Decision No. 35/2022/QD-UBND dated 11/7/2022 on approving prices for technical infrastructure services, prices for drainage and wastewater treatment services at Tan Lien industrial cluster, Vinh Bao district and Tien Lang town industrial cluster, Tien Lang district, takes effect from 20/7/2022  </t>
    </r>
  </si>
  <si>
    <t>To collect information on site</t>
  </si>
  <si>
    <t xml:space="preserve">Yes
Decision No. 08/2017/QĐ-UBND dated 20/7/2017 of Thai Binh PPC </t>
  </si>
  <si>
    <t>Yes
Decision No. 38/2019/QĐ-UBND dated 24/10/2019 of Nam Dinh PPC</t>
  </si>
  <si>
    <t xml:space="preserve">Yes
Decision No. 47/2017/QĐ - UBND dated 29/12/2017 of Hai Phong PC
</t>
  </si>
  <si>
    <t>Yes
Decision No.41/2017/QĐ-UBND dated 6/12/2017 of Hanoi PC</t>
  </si>
  <si>
    <t xml:space="preserve">Yes
Decision No. 35/2019/QĐ-UBND dated 09/9/2019 of Ha Nam PPC </t>
  </si>
  <si>
    <t xml:space="preserve">Yes
Decision No. 23/2016/QĐ-UBND dated 05/08/2016 of Hai Duong PPC </t>
  </si>
  <si>
    <t xml:space="preserve">Yes
Decision No. 02/2016/QĐ-UBND dated 29/1/2016 of Bac Ninh PPC and,  
Decision No. 03/2018/QĐ-UBND dated 31/1/2018 of Bac Ninh PPC </t>
  </si>
  <si>
    <t xml:space="preserve">Yes
Decision No. 969/QĐ-UBND dated 1/4/2016 of Quang Ninh PPC </t>
  </si>
  <si>
    <t xml:space="preserve">Yes
Decision No.48/2021/QĐ-UBND dated 28/10/2021 of Nam Dinh PPC, and 
 Decision No. 17/2019/QD-UBND dated 5/6/2019 of Nam Dinh PPC
</t>
  </si>
  <si>
    <t>Yes
Decision No. 24/2020/QD-UBND dated September 9, 2020 of Ninh Binh PPC</t>
  </si>
  <si>
    <t>Yes
Decision 953/QD-UBND dated 18/4/2017 of Thai Binh PPC, and
Decision 79/QD-UNBD dated 10/1/2018 of Thai Binh PPC</t>
  </si>
  <si>
    <t>Yes
Decision No. 51/QD-UBND dated 6//2020 of Ha Nam PPC</t>
  </si>
  <si>
    <t>Yes
Decision No. 1503/QD-UBND dated 10/6/2016 of Hai Duong PPC</t>
  </si>
  <si>
    <t xml:space="preserve">Yes
Decision No. 21/2018/QD-UBND dated 02/10/2018 of Vinh Phuc PPC
</t>
  </si>
  <si>
    <t>Average GDP per capita in 2023 (VNĐ)</t>
  </si>
  <si>
    <t>151100000 VNĐ (according to the social economic situlation report on Quarter 4 and year 2023-Hanoi Statistical Department)</t>
  </si>
  <si>
    <t>145.128.000 (according to the social economic situlation report in 2023-Bac Ninh Statistical Department)</t>
  </si>
  <si>
    <t>9400 USD</t>
  </si>
  <si>
    <t>Rating</t>
  </si>
  <si>
    <r>
      <t xml:space="preserve">Regulatory framework 
</t>
    </r>
    <r>
      <rPr>
        <i/>
        <sz val="10"/>
        <rFont val="Times New Roman"/>
        <family val="1"/>
      </rPr>
      <t>Regulations on management of drainage activities  (in accordance with Decree 80/2015)</t>
    </r>
  </si>
  <si>
    <r>
      <t xml:space="preserve">Yes
Decision No. 34/2021/QD-UBND dated 29/10/2021 of Hai Phong PC
</t>
    </r>
    <r>
      <rPr>
        <b/>
        <i/>
        <sz val="10"/>
        <rFont val="Times New Roman"/>
        <family val="1"/>
      </rPr>
      <t>Article 1: Prices of water drainage services in Hai Phong City
Drainage service price: 20% of the selling price of clean water</t>
    </r>
    <r>
      <rPr>
        <sz val="10"/>
        <rFont val="Times New Roman"/>
        <family val="1"/>
      </rPr>
      <t xml:space="preserve">
Decision No. 35/2022/QD-UBND dated 11/7/2022 </t>
    </r>
  </si>
  <si>
    <t xml:space="preserve">Currently, Vinh Niem WWTP has the biggest capacity amongst the WWTP in the city, however, Vinh Niem WWTP is operating approx. 80% of designing capacity. The other operating WWTP are smaller capacity </t>
  </si>
  <si>
    <t>There is still not any WWTP in the urban area</t>
  </si>
  <si>
    <t>In 2019, Thai Binh WWTP is operating with capacity of 10,000m3/d, serving for 8 inner wards. The estimated domestic wastewater volume of the city area is 40,000m3/d. Thus, the current WWTP capacity  does not meet the needs of Thai Binh city, especially the domestic wastewater treatment for the Southern wards of the City. This wastewater is now being directly discharged into the rivers, causing poluttion</t>
  </si>
  <si>
    <t>There are 04 WWTPs with total 7642 m3/d for domestic wastewater treatment. However, most of the treatment stations are currently in a moderate operating state, not at full capacity, and the treatment efficiency is not high.</t>
  </si>
  <si>
    <t xml:space="preserve">Phu Ly city has invested in 03 centralized domestic WWTP, but only 01 Quy Luu WWTP with a capacity of 2,500m3/day has been operated, located in the core area of the city. The remaining 02 WWTPs (including Bac Chau Giang WWTP with a capacity of 1,500m3/day and Thanh Chau WWTP with a capacity of 5,000m3/day) have completed construction investment but have not yet operated because there is no wastewater. The reason is that the investment project to build 2 wastewater plants does not include a network of collection pipelines, so it is not possible to collect wastewater to the treatment station. </t>
  </si>
  <si>
    <t>In Vinh Phuc, the basic collection and wastewater collection infrastructure is still fragmented and lacks synchronization</t>
  </si>
  <si>
    <t>Currently, in the new district, only Ha Long City has 7 WWTP with a capacity of 16,176m3/day, but these stations only have about 20.04% of SH wastewater, in Cam Pha and Uong Bi cities, there is no domestic WWTP, so rainwater and domestic wastewater are still being discharged directly into the sewers and into the sea. Meanwhile, Ha Long City is a tourist area, a world heritage site and the speed of urbanization in cities is taking place very quickly, so the need for the development of biodiversity and wastewater is very urgent</t>
  </si>
  <si>
    <t>Hai Phong is a grade 1 urban area, an important port city and one of the 2 development centers of the Northern Key Economic Region. However, the collection and treatment of wastewater has only reached less than 50% so far, so the construction of wastewater collection and treatment at HP is very necessary</t>
  </si>
  <si>
    <t>Estimated total population (person) in 2030</t>
  </si>
  <si>
    <t>Estimated Urban population (person) in 2030</t>
  </si>
  <si>
    <t>11,410,000 - 11,950,000</t>
  </si>
  <si>
    <t>Percentage of urban population supplied with clean water by centralized water supply systems in 2023 (%)</t>
  </si>
  <si>
    <t>Estimated percentage of urban population supplied with clean water by centralized water supply systems in 2030 (%)</t>
  </si>
  <si>
    <t>Actual Water supply volume in 2023 (m3)</t>
  </si>
  <si>
    <t>Estimated water supply capacity in 2030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</si>
</sst>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0.0"/>
  </numFmts>
  <fonts count="22" x14ac:knownFonts="1">
    <font>
      <sz val="11"/>
      <color theme="1"/>
      <name val="Calibri"/>
      <family val="2"/>
      <scheme val="minor"/>
    </font>
    <font>
      <b/>
      <sz val="11"/>
      <color theme="1"/>
      <name val="Calibri"/>
      <family val="2"/>
      <scheme val="minor"/>
    </font>
    <font>
      <b/>
      <sz val="11"/>
      <name val="Times New Roman"/>
      <family val="1"/>
    </font>
    <font>
      <sz val="10"/>
      <name val="Times New Roman"/>
      <family val="1"/>
    </font>
    <font>
      <sz val="10"/>
      <color theme="1"/>
      <name val="Calibri"/>
      <family val="2"/>
      <scheme val="minor"/>
    </font>
    <font>
      <sz val="10"/>
      <color rgb="FFFF0000"/>
      <name val="Times New Roman"/>
      <family val="1"/>
    </font>
    <font>
      <i/>
      <sz val="10"/>
      <color rgb="FFFF0000"/>
      <name val="Times New Roman"/>
      <family val="1"/>
    </font>
    <font>
      <b/>
      <i/>
      <sz val="10"/>
      <color rgb="FFFF0000"/>
      <name val="Times New Roman"/>
      <family val="1"/>
    </font>
    <font>
      <b/>
      <i/>
      <sz val="10"/>
      <name val="Times New Roman"/>
      <family val="1"/>
    </font>
    <font>
      <sz val="10"/>
      <color rgb="FF000000"/>
      <name val="Tahoma"/>
      <family val="2"/>
    </font>
    <font>
      <b/>
      <sz val="10"/>
      <color rgb="FF000000"/>
      <name val="Tahoma"/>
      <family val="2"/>
    </font>
    <font>
      <sz val="10"/>
      <color rgb="FF000000"/>
      <name val="Times New Roman"/>
      <family val="18"/>
    </font>
    <font>
      <sz val="11"/>
      <color rgb="FF000000"/>
      <name val="Times New Roman"/>
      <family val="18"/>
    </font>
    <font>
      <sz val="10"/>
      <color rgb="FF000000"/>
      <name val="Calibri"/>
      <family val="2"/>
    </font>
    <font>
      <i/>
      <sz val="10"/>
      <name val="Times New Roman"/>
      <family val="1"/>
    </font>
    <font>
      <i/>
      <sz val="10"/>
      <name val="Calibri"/>
      <family val="2"/>
      <scheme val="minor"/>
    </font>
    <font>
      <sz val="10"/>
      <color theme="1"/>
      <name val="Times New Roman"/>
      <family val="1"/>
    </font>
    <font>
      <b/>
      <sz val="10"/>
      <color theme="1"/>
      <name val="Times New Roman"/>
      <family val="1"/>
    </font>
    <font>
      <sz val="11"/>
      <color theme="1"/>
      <name val="Calibri"/>
      <family val="2"/>
      <scheme val="minor"/>
    </font>
    <font>
      <sz val="9"/>
      <color indexed="81"/>
      <name val="Tahoma"/>
      <charset val="1"/>
    </font>
    <font>
      <b/>
      <sz val="9"/>
      <color indexed="81"/>
      <name val="Tahoma"/>
      <charset val="1"/>
    </font>
    <font>
      <b/>
      <sz val="1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43" fontId="18" fillId="0" borderId="0" applyFont="0" applyFill="0" applyBorder="0" applyAlignment="0" applyProtection="0"/>
  </cellStyleXfs>
  <cellXfs count="62">
    <xf numFmtId="0" fontId="0" fillId="0" borderId="0" xfId="0"/>
    <xf numFmtId="0" fontId="0" fillId="0" borderId="0" xfId="0" applyAlignment="1">
      <alignment vertical="top"/>
    </xf>
    <xf numFmtId="0" fontId="1" fillId="0" borderId="0" xfId="0" applyFont="1" applyAlignment="1">
      <alignment vertical="top"/>
    </xf>
    <xf numFmtId="49" fontId="0" fillId="0" borderId="0" xfId="0" applyNumberFormat="1" applyAlignment="1">
      <alignment vertical="top"/>
    </xf>
    <xf numFmtId="0" fontId="2"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vertical="top"/>
    </xf>
    <xf numFmtId="0" fontId="3" fillId="0" borderId="1" xfId="0" applyFont="1" applyBorder="1" applyAlignment="1">
      <alignment vertical="top"/>
    </xf>
    <xf numFmtId="0" fontId="4" fillId="0" borderId="0" xfId="0" applyFont="1" applyAlignment="1">
      <alignment vertical="top"/>
    </xf>
    <xf numFmtId="0" fontId="3" fillId="0" borderId="1" xfId="0" applyFont="1" applyBorder="1" applyAlignment="1">
      <alignment vertical="top" wrapText="1"/>
    </xf>
    <xf numFmtId="3" fontId="3" fillId="0" borderId="1" xfId="0" applyNumberFormat="1" applyFont="1" applyBorder="1" applyAlignment="1">
      <alignment vertical="top"/>
    </xf>
    <xf numFmtId="0" fontId="5" fillId="2" borderId="1" xfId="0" applyFont="1" applyFill="1" applyBorder="1" applyAlignment="1">
      <alignment horizontal="left" vertical="top"/>
    </xf>
    <xf numFmtId="0" fontId="5" fillId="2" borderId="1" xfId="0" applyFont="1" applyFill="1" applyBorder="1" applyAlignment="1">
      <alignment horizontal="left" vertical="top" wrapText="1"/>
    </xf>
    <xf numFmtId="0" fontId="5" fillId="2" borderId="1" xfId="0" quotePrefix="1"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0" xfId="0" applyFont="1" applyFill="1" applyAlignment="1">
      <alignment vertical="top"/>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5" fillId="0" borderId="1" xfId="0" quotePrefix="1" applyFont="1" applyBorder="1" applyAlignment="1">
      <alignment horizontal="left" vertical="top" wrapText="1"/>
    </xf>
    <xf numFmtId="0" fontId="5" fillId="0" borderId="0" xfId="0" applyFont="1" applyAlignment="1">
      <alignment vertical="top"/>
    </xf>
    <xf numFmtId="0" fontId="3" fillId="3" borderId="1" xfId="0" applyFont="1" applyFill="1" applyBorder="1" applyAlignment="1">
      <alignment vertical="top"/>
    </xf>
    <xf numFmtId="0" fontId="4" fillId="3" borderId="0" xfId="0" applyFont="1" applyFill="1" applyAlignment="1">
      <alignment vertical="top"/>
    </xf>
    <xf numFmtId="0" fontId="3" fillId="3" borderId="1" xfId="0" applyFont="1" applyFill="1" applyBorder="1" applyAlignment="1">
      <alignment vertical="top" wrapText="1"/>
    </xf>
    <xf numFmtId="3" fontId="3" fillId="3" borderId="1" xfId="0" applyNumberFormat="1" applyFont="1" applyFill="1" applyBorder="1" applyAlignment="1">
      <alignment vertical="top"/>
    </xf>
    <xf numFmtId="0" fontId="8" fillId="4" borderId="1" xfId="0" applyFont="1" applyFill="1" applyBorder="1" applyAlignment="1">
      <alignment horizontal="center" vertical="top" wrapText="1"/>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3" fillId="4" borderId="1" xfId="0" quotePrefix="1" applyFont="1" applyFill="1" applyBorder="1" applyAlignment="1">
      <alignment horizontal="left" vertical="top" wrapText="1"/>
    </xf>
    <xf numFmtId="0" fontId="3" fillId="4" borderId="0" xfId="0" applyFont="1" applyFill="1" applyAlignment="1">
      <alignment vertical="top"/>
    </xf>
    <xf numFmtId="0" fontId="14" fillId="4" borderId="1" xfId="0" applyFont="1" applyFill="1" applyBorder="1" applyAlignment="1">
      <alignment horizontal="left" vertical="top" wrapText="1"/>
    </xf>
    <xf numFmtId="0" fontId="14" fillId="4" borderId="1" xfId="0" applyFont="1" applyFill="1" applyBorder="1" applyAlignment="1">
      <alignment vertical="top"/>
    </xf>
    <xf numFmtId="0" fontId="14" fillId="4" borderId="1" xfId="0" applyFont="1" applyFill="1" applyBorder="1" applyAlignment="1">
      <alignment horizontal="right" vertical="top" wrapText="1"/>
    </xf>
    <xf numFmtId="0" fontId="8" fillId="4" borderId="1" xfId="0" quotePrefix="1" applyFont="1" applyFill="1" applyBorder="1" applyAlignment="1">
      <alignment horizontal="center" vertical="top" wrapText="1"/>
    </xf>
    <xf numFmtId="0" fontId="15" fillId="4" borderId="0" xfId="0" applyFont="1" applyFill="1" applyAlignment="1">
      <alignment vertical="top"/>
    </xf>
    <xf numFmtId="3" fontId="16" fillId="3" borderId="1" xfId="0" applyNumberFormat="1" applyFont="1" applyFill="1" applyBorder="1" applyAlignment="1">
      <alignment vertical="top"/>
    </xf>
    <xf numFmtId="3" fontId="16" fillId="0" borderId="1" xfId="0" applyNumberFormat="1" applyFont="1" applyBorder="1" applyAlignment="1">
      <alignment vertical="top"/>
    </xf>
    <xf numFmtId="3" fontId="16" fillId="0" borderId="1" xfId="0" applyNumberFormat="1" applyFont="1" applyBorder="1" applyAlignment="1">
      <alignment horizontal="center" vertical="top"/>
    </xf>
    <xf numFmtId="0" fontId="16" fillId="0" borderId="0" xfId="0" applyFont="1" applyAlignment="1">
      <alignment vertical="top"/>
    </xf>
    <xf numFmtId="0" fontId="16" fillId="3" borderId="1" xfId="0" applyFont="1" applyFill="1" applyBorder="1" applyAlignment="1">
      <alignment vertical="top"/>
    </xf>
    <xf numFmtId="0" fontId="16" fillId="0" borderId="1" xfId="0" applyFont="1" applyBorder="1" applyAlignment="1">
      <alignment vertical="top"/>
    </xf>
    <xf numFmtId="0" fontId="16" fillId="3" borderId="1" xfId="0" applyFont="1" applyFill="1" applyBorder="1" applyAlignment="1">
      <alignment vertical="top" wrapText="1"/>
    </xf>
    <xf numFmtId="164" fontId="3" fillId="0" borderId="1" xfId="1" applyNumberFormat="1" applyFont="1" applyBorder="1" applyAlignment="1">
      <alignment vertical="top"/>
    </xf>
    <xf numFmtId="4" fontId="3" fillId="0" borderId="1" xfId="0" applyNumberFormat="1" applyFont="1" applyBorder="1" applyAlignment="1">
      <alignment vertical="top"/>
    </xf>
    <xf numFmtId="165" fontId="16" fillId="0" borderId="1" xfId="0" applyNumberFormat="1" applyFont="1" applyBorder="1" applyAlignment="1">
      <alignment vertical="top"/>
    </xf>
    <xf numFmtId="4" fontId="16" fillId="0" borderId="1" xfId="0" applyNumberFormat="1" applyFont="1" applyBorder="1" applyAlignment="1">
      <alignment vertical="top"/>
    </xf>
    <xf numFmtId="0" fontId="17" fillId="0" borderId="1" xfId="0" applyFont="1" applyBorder="1" applyAlignment="1">
      <alignment horizontal="center" vertical="top"/>
    </xf>
    <xf numFmtId="0" fontId="2" fillId="0" borderId="1" xfId="0" applyFont="1" applyBorder="1" applyAlignment="1">
      <alignment horizontal="center" vertical="top"/>
    </xf>
    <xf numFmtId="0" fontId="17" fillId="0" borderId="1" xfId="0" applyFont="1" applyBorder="1" applyAlignment="1">
      <alignment horizontal="center" vertical="top" wrapText="1"/>
    </xf>
    <xf numFmtId="164" fontId="3" fillId="3" borderId="1" xfId="1" applyNumberFormat="1" applyFont="1" applyFill="1" applyBorder="1" applyAlignment="1">
      <alignment vertical="top"/>
    </xf>
    <xf numFmtId="165" fontId="16" fillId="3" borderId="1" xfId="0" applyNumberFormat="1" applyFont="1" applyFill="1" applyBorder="1" applyAlignment="1">
      <alignment vertical="top"/>
    </xf>
    <xf numFmtId="0" fontId="3" fillId="0" borderId="1" xfId="0" applyFont="1" applyFill="1" applyBorder="1" applyAlignment="1">
      <alignment vertical="top"/>
    </xf>
    <xf numFmtId="0" fontId="3" fillId="0" borderId="1" xfId="0" applyFont="1" applyFill="1" applyBorder="1" applyAlignment="1">
      <alignment vertical="top" wrapText="1"/>
    </xf>
    <xf numFmtId="3" fontId="3" fillId="0" borderId="1" xfId="0" applyNumberFormat="1" applyFont="1" applyFill="1" applyBorder="1" applyAlignment="1">
      <alignment vertical="top"/>
    </xf>
    <xf numFmtId="0" fontId="16" fillId="0" borderId="1" xfId="0" applyFont="1" applyFill="1" applyBorder="1" applyAlignment="1">
      <alignment vertical="top"/>
    </xf>
    <xf numFmtId="3" fontId="16" fillId="0" borderId="1" xfId="0" applyNumberFormat="1" applyFont="1" applyFill="1" applyBorder="1" applyAlignment="1">
      <alignment vertical="top"/>
    </xf>
    <xf numFmtId="0" fontId="4" fillId="0" borderId="0" xfId="0" applyFont="1" applyFill="1" applyAlignment="1">
      <alignment vertical="top"/>
    </xf>
    <xf numFmtId="0" fontId="16" fillId="0" borderId="0" xfId="0" applyFont="1" applyFill="1" applyAlignment="1">
      <alignment vertical="top"/>
    </xf>
    <xf numFmtId="3" fontId="3" fillId="3" borderId="2" xfId="0" applyNumberFormat="1" applyFont="1" applyFill="1" applyBorder="1" applyAlignment="1">
      <alignment vertical="top"/>
    </xf>
    <xf numFmtId="3" fontId="16" fillId="3" borderId="0" xfId="0" applyNumberFormat="1" applyFont="1" applyFill="1" applyAlignment="1">
      <alignment vertical="top"/>
    </xf>
    <xf numFmtId="0" fontId="1" fillId="0" borderId="1" xfId="0" applyFont="1" applyBorder="1" applyAlignment="1">
      <alignment horizontal="center" vertical="top"/>
    </xf>
    <xf numFmtId="0" fontId="21" fillId="0" borderId="3" xfId="0" applyFont="1" applyBorder="1" applyAlignment="1">
      <alignment horizontal="center" vertical="center"/>
    </xf>
    <xf numFmtId="0" fontId="0" fillId="0" borderId="0" xfId="0" applyAlignment="1">
      <alignment vertical="center"/>
    </xf>
  </cellXfs>
  <cellStyles count="2">
    <cellStyle name="Comma" xfId="1" builtinId="3"/>
    <cellStyle name="Normal" xfId="0" builtinId="0"/>
  </cellStyles>
  <dxfs count="0"/>
  <tableStyles count="0" defaultTableStyle="TableStyleMedium2" defaultPivotStyle="PivotStyleLight16"/>
  <colors>
    <mruColors>
      <color rgb="FFC1D7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0"/>
  <sheetViews>
    <sheetView tabSelected="1" zoomScaleNormal="100" workbookViewId="0">
      <selection activeCell="F9" sqref="F9"/>
    </sheetView>
  </sheetViews>
  <sheetFormatPr defaultColWidth="9.140625" defaultRowHeight="15" x14ac:dyDescent="0.25"/>
  <cols>
    <col min="1" max="1" width="4.7109375" style="1" customWidth="1"/>
    <col min="2" max="2" width="21.7109375" style="1" customWidth="1"/>
    <col min="3" max="3" width="18.85546875" style="1" customWidth="1"/>
    <col min="4" max="4" width="18.28515625" style="37" customWidth="1"/>
    <col min="5" max="5" width="14.140625" style="37" customWidth="1"/>
    <col min="6" max="6" width="14.42578125" style="37" customWidth="1"/>
    <col min="7" max="7" width="19.5703125" style="37" customWidth="1"/>
    <col min="8" max="8" width="15.140625" style="37" customWidth="1"/>
    <col min="9" max="9" width="17.42578125" style="37" customWidth="1"/>
    <col min="10" max="10" width="19.85546875" style="37" customWidth="1"/>
    <col min="11" max="11" width="15.7109375" style="37" customWidth="1"/>
    <col min="12" max="12" width="16.42578125" style="37" customWidth="1"/>
    <col min="13" max="13" width="17.42578125" style="37" customWidth="1"/>
    <col min="14" max="15" width="9.140625" style="1"/>
    <col min="16" max="16" width="10" style="1" customWidth="1"/>
    <col min="17" max="17" width="9.140625" style="1"/>
    <col min="18" max="18" width="9.42578125" style="1" customWidth="1"/>
    <col min="19" max="16384" width="9.140625" style="1"/>
  </cols>
  <sheetData>
    <row r="1" spans="1:13" s="61" customFormat="1" ht="31.5" customHeight="1" x14ac:dyDescent="0.25">
      <c r="A1" s="60" t="s">
        <v>14</v>
      </c>
      <c r="B1" s="60"/>
      <c r="C1" s="60"/>
      <c r="D1" s="60"/>
      <c r="E1" s="60"/>
      <c r="F1" s="60"/>
      <c r="G1" s="60"/>
      <c r="H1" s="60"/>
      <c r="I1" s="60"/>
      <c r="J1" s="60"/>
      <c r="K1" s="60"/>
      <c r="L1" s="60"/>
      <c r="M1" s="60"/>
    </row>
    <row r="2" spans="1:13" x14ac:dyDescent="0.25">
      <c r="A2" s="59" t="s">
        <v>15</v>
      </c>
      <c r="B2" s="59" t="s">
        <v>16</v>
      </c>
      <c r="C2" s="59" t="s">
        <v>17</v>
      </c>
      <c r="D2" s="59"/>
      <c r="E2" s="59"/>
      <c r="F2" s="59"/>
      <c r="G2" s="59"/>
      <c r="H2" s="59"/>
      <c r="I2" s="59"/>
      <c r="J2" s="59"/>
      <c r="K2" s="59"/>
      <c r="L2" s="59"/>
      <c r="M2" s="59"/>
    </row>
    <row r="3" spans="1:13" x14ac:dyDescent="0.25">
      <c r="A3" s="59"/>
      <c r="B3" s="59"/>
      <c r="C3" s="46" t="s">
        <v>3</v>
      </c>
      <c r="D3" s="47" t="s">
        <v>4</v>
      </c>
      <c r="E3" s="47" t="s">
        <v>6</v>
      </c>
      <c r="F3" s="45" t="s">
        <v>5</v>
      </c>
      <c r="G3" s="45" t="s">
        <v>7</v>
      </c>
      <c r="H3" s="45" t="s">
        <v>8</v>
      </c>
      <c r="I3" s="45" t="s">
        <v>9</v>
      </c>
      <c r="J3" s="45" t="s">
        <v>10</v>
      </c>
      <c r="K3" s="45" t="s">
        <v>11</v>
      </c>
      <c r="L3" s="45" t="s">
        <v>12</v>
      </c>
      <c r="M3" s="45" t="s">
        <v>13</v>
      </c>
    </row>
    <row r="4" spans="1:13" s="8" customFormat="1" ht="12.75" x14ac:dyDescent="0.25">
      <c r="A4" s="7">
        <v>1</v>
      </c>
      <c r="B4" s="7" t="s">
        <v>18</v>
      </c>
      <c r="C4" s="7" t="s">
        <v>0</v>
      </c>
      <c r="D4" s="7" t="s">
        <v>1</v>
      </c>
      <c r="E4" s="7" t="s">
        <v>1</v>
      </c>
      <c r="F4" s="7" t="s">
        <v>2</v>
      </c>
      <c r="G4" s="7" t="s">
        <v>2</v>
      </c>
      <c r="H4" s="7" t="s">
        <v>1</v>
      </c>
      <c r="I4" s="7" t="s">
        <v>2</v>
      </c>
      <c r="J4" s="7" t="s">
        <v>2</v>
      </c>
      <c r="K4" s="7" t="s">
        <v>1</v>
      </c>
      <c r="L4" s="7" t="s">
        <v>2</v>
      </c>
      <c r="M4" s="7" t="s">
        <v>1</v>
      </c>
    </row>
    <row r="5" spans="1:13" s="21" customFormat="1" ht="12.75" x14ac:dyDescent="0.25">
      <c r="A5" s="20">
        <v>2</v>
      </c>
      <c r="B5" s="20" t="s">
        <v>19</v>
      </c>
      <c r="C5" s="20" t="s">
        <v>20</v>
      </c>
      <c r="D5" s="23">
        <v>152652</v>
      </c>
      <c r="E5" s="23">
        <v>9206</v>
      </c>
      <c r="F5" s="34">
        <v>19901</v>
      </c>
      <c r="G5" s="34">
        <v>9871</v>
      </c>
      <c r="H5" s="23">
        <v>8187.3</v>
      </c>
      <c r="I5" s="34">
        <v>30287.200000000001</v>
      </c>
      <c r="J5" s="34">
        <v>16941.099999999999</v>
      </c>
      <c r="K5" s="34">
        <v>8755</v>
      </c>
      <c r="L5" s="34">
        <v>27844</v>
      </c>
      <c r="M5" s="34">
        <v>204351</v>
      </c>
    </row>
    <row r="6" spans="1:13" s="8" customFormat="1" ht="25.5" x14ac:dyDescent="0.25">
      <c r="A6" s="7">
        <v>3</v>
      </c>
      <c r="B6" s="9" t="s">
        <v>81</v>
      </c>
      <c r="C6" s="7" t="s">
        <v>83</v>
      </c>
      <c r="D6" s="10">
        <v>2300000</v>
      </c>
      <c r="E6" s="10">
        <v>619344</v>
      </c>
      <c r="F6" s="35">
        <v>400000</v>
      </c>
      <c r="G6" s="35">
        <v>794390</v>
      </c>
      <c r="H6" s="10">
        <v>1800000</v>
      </c>
      <c r="I6" s="35">
        <v>1380250</v>
      </c>
      <c r="J6" s="35">
        <v>832000</v>
      </c>
      <c r="K6" s="35">
        <v>2550000</v>
      </c>
      <c r="L6" s="35">
        <v>450000</v>
      </c>
      <c r="M6" s="35">
        <v>2535819</v>
      </c>
    </row>
    <row r="7" spans="1:13" s="21" customFormat="1" ht="25.5" x14ac:dyDescent="0.25">
      <c r="A7" s="20">
        <v>4</v>
      </c>
      <c r="B7" s="22" t="s">
        <v>82</v>
      </c>
      <c r="C7" s="48">
        <f>11410000000*65%</f>
        <v>7416500000</v>
      </c>
      <c r="D7" s="23">
        <v>1050000</v>
      </c>
      <c r="E7" s="23">
        <v>466100</v>
      </c>
      <c r="F7" s="34"/>
      <c r="G7" s="34">
        <v>738478</v>
      </c>
      <c r="H7" s="23"/>
      <c r="I7" s="34">
        <v>1380250</v>
      </c>
      <c r="J7" s="34">
        <v>577760</v>
      </c>
      <c r="K7" s="34"/>
      <c r="L7" s="34"/>
      <c r="M7" s="34">
        <v>1538500</v>
      </c>
    </row>
    <row r="8" spans="1:13" s="8" customFormat="1" ht="25.5" x14ac:dyDescent="0.25">
      <c r="A8" s="7">
        <v>5</v>
      </c>
      <c r="B8" s="9" t="s">
        <v>86</v>
      </c>
      <c r="C8" s="41">
        <v>1538000</v>
      </c>
      <c r="D8" s="10">
        <v>507500</v>
      </c>
      <c r="E8" s="10">
        <v>24745</v>
      </c>
      <c r="F8" s="35"/>
      <c r="G8" s="35">
        <v>88461</v>
      </c>
      <c r="H8" s="10"/>
      <c r="I8" s="35">
        <v>43643</v>
      </c>
      <c r="J8" s="35">
        <v>90000</v>
      </c>
      <c r="K8" s="35"/>
      <c r="L8" s="35"/>
      <c r="M8" s="35">
        <v>1500500</v>
      </c>
    </row>
    <row r="9" spans="1:13" s="21" customFormat="1" ht="31.5" customHeight="1" x14ac:dyDescent="0.25">
      <c r="A9" s="20">
        <v>6</v>
      </c>
      <c r="B9" s="22" t="s">
        <v>87</v>
      </c>
      <c r="C9" s="48">
        <v>2850000</v>
      </c>
      <c r="D9" s="23">
        <v>1200000</v>
      </c>
      <c r="E9" s="23">
        <v>201500</v>
      </c>
      <c r="F9" s="34"/>
      <c r="G9" s="34">
        <v>313161</v>
      </c>
      <c r="H9" s="23"/>
      <c r="I9" s="34">
        <v>141373</v>
      </c>
      <c r="J9" s="34">
        <v>573650</v>
      </c>
      <c r="K9" s="34"/>
      <c r="L9" s="34"/>
      <c r="M9" s="34">
        <v>1500500</v>
      </c>
    </row>
    <row r="10" spans="1:13" s="8" customFormat="1" ht="51" x14ac:dyDescent="0.25">
      <c r="A10" s="7">
        <v>7</v>
      </c>
      <c r="B10" s="9" t="s">
        <v>84</v>
      </c>
      <c r="C10" s="7">
        <v>100</v>
      </c>
      <c r="D10" s="10">
        <v>100</v>
      </c>
      <c r="E10" s="42">
        <v>81.81</v>
      </c>
      <c r="F10" s="35"/>
      <c r="G10" s="35">
        <v>100</v>
      </c>
      <c r="H10" s="10"/>
      <c r="I10" s="35">
        <v>88</v>
      </c>
      <c r="J10" s="44">
        <v>99.5</v>
      </c>
      <c r="K10" s="35"/>
      <c r="L10" s="35"/>
      <c r="M10" s="43">
        <v>93.6</v>
      </c>
    </row>
    <row r="11" spans="1:13" s="21" customFormat="1" ht="70.5" customHeight="1" x14ac:dyDescent="0.25">
      <c r="A11" s="20">
        <v>8</v>
      </c>
      <c r="B11" s="22" t="s">
        <v>85</v>
      </c>
      <c r="C11" s="20">
        <v>100</v>
      </c>
      <c r="D11" s="23">
        <v>100</v>
      </c>
      <c r="E11" s="23">
        <v>100</v>
      </c>
      <c r="F11" s="34"/>
      <c r="G11" s="34">
        <v>100</v>
      </c>
      <c r="H11" s="23"/>
      <c r="I11" s="34">
        <v>100</v>
      </c>
      <c r="J11" s="34">
        <v>100</v>
      </c>
      <c r="K11" s="34"/>
      <c r="L11" s="34"/>
      <c r="M11" s="49">
        <v>99.8</v>
      </c>
    </row>
    <row r="12" spans="1:13" s="55" customFormat="1" ht="25.5" x14ac:dyDescent="0.25">
      <c r="A12" s="50">
        <v>9</v>
      </c>
      <c r="B12" s="51" t="s">
        <v>41</v>
      </c>
      <c r="C12" s="52">
        <v>1808300</v>
      </c>
      <c r="D12" s="52">
        <v>553493</v>
      </c>
      <c r="E12" s="52">
        <v>157000</v>
      </c>
      <c r="F12" s="53"/>
      <c r="G12" s="53"/>
      <c r="H12" s="52"/>
      <c r="I12" s="54"/>
      <c r="J12" s="54"/>
      <c r="K12" s="53"/>
      <c r="L12" s="54">
        <v>233280</v>
      </c>
      <c r="M12" s="54">
        <v>1126120</v>
      </c>
    </row>
    <row r="13" spans="1:13" s="21" customFormat="1" ht="41.25" customHeight="1" x14ac:dyDescent="0.25">
      <c r="A13" s="20">
        <v>10</v>
      </c>
      <c r="B13" s="22" t="s">
        <v>42</v>
      </c>
      <c r="C13" s="23">
        <v>546300</v>
      </c>
      <c r="D13" s="23">
        <v>38300</v>
      </c>
      <c r="E13" s="23">
        <v>0</v>
      </c>
      <c r="F13" s="38"/>
      <c r="G13" s="34">
        <v>10000</v>
      </c>
      <c r="H13" s="57">
        <v>115900</v>
      </c>
      <c r="I13" s="58"/>
      <c r="J13" s="34">
        <v>14610</v>
      </c>
      <c r="K13" s="38"/>
      <c r="L13" s="34">
        <v>18000</v>
      </c>
      <c r="M13" s="34">
        <v>73427</v>
      </c>
    </row>
    <row r="14" spans="1:13" s="55" customFormat="1" ht="365.25" customHeight="1" x14ac:dyDescent="0.25">
      <c r="A14" s="50">
        <v>11</v>
      </c>
      <c r="B14" s="51" t="s">
        <v>43</v>
      </c>
      <c r="C14" s="51" t="s">
        <v>49</v>
      </c>
      <c r="D14" s="51" t="s">
        <v>73</v>
      </c>
      <c r="E14" s="51" t="s">
        <v>74</v>
      </c>
      <c r="F14" s="56"/>
      <c r="G14" s="51" t="s">
        <v>75</v>
      </c>
      <c r="H14" s="56"/>
      <c r="I14" s="51" t="s">
        <v>76</v>
      </c>
      <c r="J14" s="51" t="s">
        <v>77</v>
      </c>
      <c r="K14" s="56"/>
      <c r="L14" s="51" t="s">
        <v>78</v>
      </c>
      <c r="M14" s="51" t="s">
        <v>79</v>
      </c>
    </row>
    <row r="15" spans="1:13" s="21" customFormat="1" ht="25.5" x14ac:dyDescent="0.25">
      <c r="A15" s="20">
        <v>12</v>
      </c>
      <c r="B15" s="22" t="s">
        <v>44</v>
      </c>
      <c r="C15" s="23">
        <f>C12-C13</f>
        <v>1262000</v>
      </c>
      <c r="D15" s="23">
        <f t="shared" ref="D15:M15" si="0">D12-D13</f>
        <v>515193</v>
      </c>
      <c r="E15" s="23">
        <f t="shared" si="0"/>
        <v>157000</v>
      </c>
      <c r="F15" s="23"/>
      <c r="G15" s="23"/>
      <c r="H15" s="23"/>
      <c r="I15" s="23"/>
      <c r="J15" s="23"/>
      <c r="K15" s="23"/>
      <c r="L15" s="23">
        <f t="shared" si="0"/>
        <v>215280</v>
      </c>
      <c r="M15" s="23">
        <f t="shared" si="0"/>
        <v>1052693</v>
      </c>
    </row>
    <row r="16" spans="1:13" ht="100.5" customHeight="1" x14ac:dyDescent="0.25">
      <c r="A16" s="7">
        <v>13</v>
      </c>
      <c r="B16" s="9" t="s">
        <v>66</v>
      </c>
      <c r="C16" s="9" t="s">
        <v>67</v>
      </c>
      <c r="D16" s="36">
        <v>197600000</v>
      </c>
      <c r="E16" s="35">
        <v>54900000</v>
      </c>
      <c r="F16" s="39">
        <v>88100000</v>
      </c>
      <c r="G16" s="39">
        <v>101900000</v>
      </c>
      <c r="H16" s="9" t="s">
        <v>68</v>
      </c>
      <c r="I16" s="39">
        <v>110390000</v>
      </c>
      <c r="J16" s="39">
        <v>93600000</v>
      </c>
      <c r="K16" s="39">
        <v>94100000</v>
      </c>
      <c r="L16" s="39">
        <v>130500000</v>
      </c>
      <c r="M16" s="39" t="s">
        <v>69</v>
      </c>
    </row>
    <row r="17" spans="1:13" s="21" customFormat="1" ht="226.5" customHeight="1" x14ac:dyDescent="0.25">
      <c r="A17" s="20">
        <v>14</v>
      </c>
      <c r="B17" s="20" t="s">
        <v>45</v>
      </c>
      <c r="C17" s="22" t="s">
        <v>48</v>
      </c>
      <c r="D17" s="40" t="s">
        <v>80</v>
      </c>
      <c r="E17" s="40"/>
      <c r="F17" s="38"/>
      <c r="G17" s="38"/>
      <c r="H17" s="38"/>
      <c r="I17" s="38"/>
      <c r="J17" s="38"/>
      <c r="K17" s="38"/>
      <c r="L17" s="38"/>
      <c r="M17" s="38"/>
    </row>
    <row r="18" spans="1:13" s="8" customFormat="1" ht="38.25" x14ac:dyDescent="0.25">
      <c r="A18" s="7">
        <v>15</v>
      </c>
      <c r="B18" s="9" t="s">
        <v>46</v>
      </c>
      <c r="C18" s="9" t="s">
        <v>47</v>
      </c>
      <c r="D18" s="39"/>
      <c r="E18" s="39"/>
      <c r="F18" s="39"/>
      <c r="G18" s="39"/>
      <c r="H18" s="39"/>
      <c r="I18" s="39"/>
      <c r="J18" s="39"/>
      <c r="K18" s="39"/>
      <c r="L18" s="39"/>
      <c r="M18" s="39"/>
    </row>
    <row r="19" spans="1:13" s="28" customFormat="1" ht="140.25" customHeight="1" x14ac:dyDescent="0.25">
      <c r="A19" s="25"/>
      <c r="B19" s="26" t="s">
        <v>71</v>
      </c>
      <c r="C19" s="27" t="s">
        <v>55</v>
      </c>
      <c r="D19" s="26" t="s">
        <v>54</v>
      </c>
      <c r="E19" s="27" t="s">
        <v>53</v>
      </c>
      <c r="F19" s="26" t="s">
        <v>51</v>
      </c>
      <c r="G19" s="26" t="s">
        <v>52</v>
      </c>
      <c r="H19" s="27" t="s">
        <v>58</v>
      </c>
      <c r="I19" s="26" t="s">
        <v>51</v>
      </c>
      <c r="J19" s="26" t="s">
        <v>56</v>
      </c>
      <c r="K19" s="26" t="s">
        <v>57</v>
      </c>
      <c r="L19" s="26" t="s">
        <v>65</v>
      </c>
      <c r="M19" s="26" t="s">
        <v>59</v>
      </c>
    </row>
    <row r="20" spans="1:13" s="28" customFormat="1" ht="217.5" customHeight="1" x14ac:dyDescent="0.25">
      <c r="A20" s="25"/>
      <c r="B20" s="29" t="s">
        <v>40</v>
      </c>
      <c r="C20" s="27" t="s">
        <v>24</v>
      </c>
      <c r="D20" s="26" t="s">
        <v>72</v>
      </c>
      <c r="E20" s="27" t="s">
        <v>60</v>
      </c>
      <c r="F20" s="26" t="s">
        <v>61</v>
      </c>
      <c r="G20" s="27" t="s">
        <v>62</v>
      </c>
      <c r="H20" s="25"/>
      <c r="I20" s="26" t="s">
        <v>51</v>
      </c>
      <c r="J20" s="26" t="s">
        <v>63</v>
      </c>
      <c r="K20" s="26" t="s">
        <v>64</v>
      </c>
      <c r="L20" s="26"/>
      <c r="M20" s="26" t="s">
        <v>39</v>
      </c>
    </row>
    <row r="21" spans="1:13" s="33" customFormat="1" ht="52.5" customHeight="1" x14ac:dyDescent="0.25">
      <c r="A21" s="30"/>
      <c r="B21" s="31" t="s">
        <v>21</v>
      </c>
      <c r="C21" s="32"/>
      <c r="D21" s="24" t="s">
        <v>22</v>
      </c>
      <c r="E21" s="30"/>
      <c r="F21" s="30"/>
      <c r="G21" s="30"/>
      <c r="H21" s="30"/>
      <c r="I21" s="30"/>
      <c r="J21" s="30"/>
      <c r="K21" s="30"/>
      <c r="L21" s="30"/>
      <c r="M21" s="24" t="s">
        <v>22</v>
      </c>
    </row>
    <row r="22" spans="1:13" s="21" customFormat="1" ht="12.75" x14ac:dyDescent="0.25">
      <c r="A22" s="20">
        <v>16</v>
      </c>
      <c r="B22" s="20" t="s">
        <v>70</v>
      </c>
      <c r="C22" s="22"/>
      <c r="D22" s="38"/>
      <c r="E22" s="38"/>
      <c r="F22" s="38"/>
      <c r="G22" s="38"/>
      <c r="H22" s="38"/>
      <c r="I22" s="38"/>
      <c r="J22" s="38"/>
      <c r="K22" s="38"/>
      <c r="L22" s="38"/>
      <c r="M22" s="38"/>
    </row>
    <row r="23" spans="1:13" s="8" customFormat="1" ht="12.75" x14ac:dyDescent="0.25">
      <c r="D23" s="37"/>
      <c r="E23" s="37"/>
      <c r="F23" s="37"/>
      <c r="G23" s="37"/>
      <c r="H23" s="37"/>
      <c r="I23" s="37"/>
      <c r="J23" s="37"/>
      <c r="K23" s="37"/>
      <c r="L23" s="37"/>
      <c r="M23" s="37"/>
    </row>
    <row r="25" spans="1:13" x14ac:dyDescent="0.25">
      <c r="B25" s="3"/>
    </row>
    <row r="26" spans="1:13" x14ac:dyDescent="0.25">
      <c r="B26" s="3"/>
    </row>
    <row r="27" spans="1:13" x14ac:dyDescent="0.25">
      <c r="B27" s="3"/>
    </row>
    <row r="28" spans="1:13" x14ac:dyDescent="0.25">
      <c r="B28" s="3"/>
    </row>
    <row r="29" spans="1:13" x14ac:dyDescent="0.25">
      <c r="B29" s="3"/>
    </row>
    <row r="30" spans="1:13" x14ac:dyDescent="0.25">
      <c r="B30" s="3"/>
    </row>
  </sheetData>
  <mergeCells count="4">
    <mergeCell ref="C2:M2"/>
    <mergeCell ref="A2:A3"/>
    <mergeCell ref="B2:B3"/>
    <mergeCell ref="A1:M1"/>
  </mergeCells>
  <printOptions horizontalCentered="1"/>
  <pageMargins left="0.45" right="0.2" top="0.5" bottom="0.5" header="0.3" footer="0.3"/>
  <pageSetup paperSize="9" scale="65"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topLeftCell="A2" zoomScaleNormal="100" workbookViewId="0">
      <selection activeCell="D6" sqref="D6"/>
    </sheetView>
  </sheetViews>
  <sheetFormatPr defaultColWidth="9.140625" defaultRowHeight="15" x14ac:dyDescent="0.25"/>
  <cols>
    <col min="1" max="1" width="4.7109375" style="1" customWidth="1"/>
    <col min="2" max="2" width="33.42578125" style="1" customWidth="1"/>
    <col min="3" max="3" width="33.140625" style="1" customWidth="1"/>
    <col min="4" max="4" width="40.5703125" style="1" customWidth="1"/>
    <col min="5" max="5" width="30.5703125" style="1" customWidth="1"/>
    <col min="6" max="6" width="21.42578125" style="1" customWidth="1"/>
    <col min="7" max="7" width="25" style="1" customWidth="1"/>
    <col min="8" max="8" width="20" style="1" customWidth="1"/>
    <col min="9" max="9" width="19.28515625" style="1" customWidth="1"/>
    <col min="10" max="10" width="24.140625" style="1" customWidth="1"/>
    <col min="11" max="11" width="26.85546875" style="1" customWidth="1"/>
    <col min="12" max="12" width="25" style="1" customWidth="1"/>
    <col min="13" max="13" width="24.7109375" style="1" customWidth="1"/>
    <col min="14" max="15" width="9.140625" style="1"/>
    <col min="16" max="16" width="10" style="1" customWidth="1"/>
    <col min="17" max="17" width="9.140625" style="1"/>
    <col min="18" max="18" width="9.42578125" style="1" customWidth="1"/>
    <col min="19" max="16384" width="9.140625" style="1"/>
  </cols>
  <sheetData>
    <row r="1" spans="1:13" x14ac:dyDescent="0.25">
      <c r="A1" s="2" t="s">
        <v>14</v>
      </c>
      <c r="B1" s="2"/>
    </row>
    <row r="2" spans="1:13" x14ac:dyDescent="0.25">
      <c r="A2" s="59" t="s">
        <v>15</v>
      </c>
      <c r="B2" s="59" t="s">
        <v>16</v>
      </c>
      <c r="C2" s="59" t="s">
        <v>17</v>
      </c>
      <c r="D2" s="59"/>
      <c r="E2" s="59"/>
      <c r="F2" s="59"/>
      <c r="G2" s="59"/>
      <c r="H2" s="59"/>
      <c r="I2" s="59"/>
      <c r="J2" s="59"/>
      <c r="K2" s="59"/>
      <c r="L2" s="59"/>
      <c r="M2" s="59"/>
    </row>
    <row r="3" spans="1:13" x14ac:dyDescent="0.25">
      <c r="A3" s="59"/>
      <c r="B3" s="59"/>
      <c r="C3" s="4" t="s">
        <v>3</v>
      </c>
      <c r="D3" s="5" t="s">
        <v>4</v>
      </c>
      <c r="E3" s="5" t="s">
        <v>6</v>
      </c>
      <c r="F3" s="6" t="s">
        <v>5</v>
      </c>
      <c r="G3" s="6" t="s">
        <v>7</v>
      </c>
      <c r="H3" s="6" t="s">
        <v>8</v>
      </c>
      <c r="I3" s="6" t="s">
        <v>9</v>
      </c>
      <c r="J3" s="6" t="s">
        <v>10</v>
      </c>
      <c r="K3" s="6" t="s">
        <v>11</v>
      </c>
      <c r="L3" s="6" t="s">
        <v>12</v>
      </c>
      <c r="M3" s="6" t="s">
        <v>13</v>
      </c>
    </row>
    <row r="4" spans="1:13" s="8" customFormat="1" ht="12.75" x14ac:dyDescent="0.25">
      <c r="A4" s="7">
        <v>1</v>
      </c>
      <c r="B4" s="7" t="s">
        <v>18</v>
      </c>
      <c r="C4" s="7" t="s">
        <v>0</v>
      </c>
      <c r="D4" s="7" t="s">
        <v>1</v>
      </c>
      <c r="E4" s="7" t="s">
        <v>1</v>
      </c>
      <c r="F4" s="7" t="s">
        <v>2</v>
      </c>
      <c r="G4" s="7" t="s">
        <v>2</v>
      </c>
      <c r="H4" s="7" t="s">
        <v>1</v>
      </c>
      <c r="I4" s="7" t="s">
        <v>2</v>
      </c>
      <c r="J4" s="7" t="s">
        <v>2</v>
      </c>
      <c r="K4" s="7" t="s">
        <v>1</v>
      </c>
      <c r="L4" s="7" t="s">
        <v>2</v>
      </c>
      <c r="M4" s="7" t="s">
        <v>1</v>
      </c>
    </row>
    <row r="5" spans="1:13" s="15" customFormat="1" ht="93" customHeight="1" x14ac:dyDescent="0.25">
      <c r="A5" s="11"/>
      <c r="B5" s="12" t="s">
        <v>23</v>
      </c>
      <c r="C5" s="13" t="s">
        <v>25</v>
      </c>
      <c r="D5" s="16" t="s">
        <v>26</v>
      </c>
      <c r="E5" s="13" t="s">
        <v>27</v>
      </c>
      <c r="F5" s="11"/>
      <c r="G5" s="12" t="s">
        <v>30</v>
      </c>
      <c r="H5" s="13" t="s">
        <v>32</v>
      </c>
      <c r="I5" s="11"/>
      <c r="J5" s="12" t="s">
        <v>33</v>
      </c>
      <c r="K5" s="12" t="s">
        <v>35</v>
      </c>
      <c r="L5" s="11"/>
      <c r="M5" s="12" t="s">
        <v>38</v>
      </c>
    </row>
    <row r="6" spans="1:13" s="19" customFormat="1" ht="210" customHeight="1" x14ac:dyDescent="0.25">
      <c r="A6" s="17"/>
      <c r="B6" s="14" t="s">
        <v>40</v>
      </c>
      <c r="C6" s="13" t="s">
        <v>24</v>
      </c>
      <c r="D6" s="16" t="s">
        <v>50</v>
      </c>
      <c r="E6" s="13" t="s">
        <v>28</v>
      </c>
      <c r="F6" s="16" t="s">
        <v>29</v>
      </c>
      <c r="G6" s="18" t="s">
        <v>31</v>
      </c>
      <c r="H6" s="17"/>
      <c r="I6" s="17"/>
      <c r="J6" s="16" t="s">
        <v>34</v>
      </c>
      <c r="K6" s="16" t="s">
        <v>36</v>
      </c>
      <c r="L6" s="16" t="s">
        <v>37</v>
      </c>
      <c r="M6" s="16" t="s">
        <v>39</v>
      </c>
    </row>
    <row r="8" spans="1:13" x14ac:dyDescent="0.25">
      <c r="B8" s="3"/>
    </row>
    <row r="9" spans="1:13" x14ac:dyDescent="0.25">
      <c r="B9" s="3"/>
    </row>
    <row r="10" spans="1:13" x14ac:dyDescent="0.25">
      <c r="B10" s="3"/>
    </row>
    <row r="11" spans="1:13" x14ac:dyDescent="0.25">
      <c r="B11" s="3"/>
    </row>
    <row r="12" spans="1:13" x14ac:dyDescent="0.25">
      <c r="B12" s="3"/>
    </row>
    <row r="13" spans="1:13" x14ac:dyDescent="0.25">
      <c r="B13" s="3"/>
    </row>
  </sheetData>
  <mergeCells count="3">
    <mergeCell ref="A2:A3"/>
    <mergeCell ref="B2:B3"/>
    <mergeCell ref="C2:M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Redriver privnces</vt:lpstr>
      <vt:lpstr>Regulatory framework</vt:lpstr>
      <vt:lpstr>'Redriver privnces'!Print_Area</vt:lpstr>
      <vt:lpstr>'Redriver privnces'!Print_Titles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2024-08-02T08:09:58Z</dcterms:modified>
</cp:coreProperties>
</file>